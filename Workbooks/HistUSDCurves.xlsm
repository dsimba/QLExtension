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Letian\QLExtension\Output\Workbooks\"/>
    </mc:Choice>
  </mc:AlternateContent>
  <bookViews>
    <workbookView xWindow="480" yWindow="180" windowWidth="18195" windowHeight="12270"/>
  </bookViews>
  <sheets>
    <sheet name="Curves" sheetId="2" r:id="rId1"/>
    <sheet name="Fixings" sheetId="3" r:id="rId2"/>
  </sheets>
  <calcPr calcId="152511" calcMode="manual"/>
</workbook>
</file>

<file path=xl/calcChain.xml><?xml version="1.0" encoding="utf-8"?>
<calcChain xmlns="http://schemas.openxmlformats.org/spreadsheetml/2006/main">
  <c r="L1" i="2" l="1"/>
  <c r="L20" i="2"/>
  <c r="L18" i="2"/>
  <c r="E3" i="2" a="1"/>
  <c r="G2" i="3" a="1"/>
  <c r="A2" i="3" a="1"/>
  <c r="I2" i="3" a="1"/>
  <c r="D1" i="2"/>
  <c r="A3" i="2" a="1"/>
  <c r="L17" i="2"/>
  <c r="L16" i="2"/>
  <c r="C3" i="2" a="1"/>
  <c r="L19" i="2"/>
  <c r="G3" i="2" a="1"/>
  <c r="L1" i="3"/>
  <c r="I3" i="2" a="1"/>
  <c r="E2" i="3" a="1"/>
  <c r="C2" i="3" a="1"/>
  <c r="C11" i="3" l="1"/>
  <c r="C33" i="3"/>
  <c r="D3" i="3"/>
  <c r="D14" i="3"/>
  <c r="C35" i="3"/>
  <c r="C34" i="3"/>
  <c r="C42" i="3"/>
  <c r="C26" i="3"/>
  <c r="D17" i="3"/>
  <c r="D23" i="3"/>
  <c r="D44" i="3"/>
  <c r="D7" i="3"/>
  <c r="D37" i="3"/>
  <c r="D24" i="3"/>
  <c r="C16" i="3"/>
  <c r="D22" i="3"/>
  <c r="D39" i="3"/>
  <c r="C31" i="3"/>
  <c r="D43" i="3"/>
  <c r="D30" i="3"/>
  <c r="C27" i="3"/>
  <c r="D10" i="3"/>
  <c r="D27" i="3"/>
  <c r="C38" i="3"/>
  <c r="C22" i="3"/>
  <c r="C2" i="3"/>
  <c r="D41" i="3"/>
  <c r="C36" i="3"/>
  <c r="C30" i="3"/>
  <c r="D33" i="3"/>
  <c r="C6" i="3"/>
  <c r="C32" i="3"/>
  <c r="D40" i="3"/>
  <c r="C18" i="3"/>
  <c r="D13" i="3"/>
  <c r="D19" i="3"/>
  <c r="C37" i="3"/>
  <c r="D28" i="3"/>
  <c r="C4" i="3"/>
  <c r="C40" i="3"/>
  <c r="D4" i="3"/>
  <c r="C14" i="3"/>
  <c r="D31" i="3"/>
  <c r="C21" i="3"/>
  <c r="C43" i="3"/>
  <c r="C29" i="3"/>
  <c r="C15" i="3"/>
  <c r="D2" i="3"/>
  <c r="C41" i="3"/>
  <c r="C20" i="3"/>
  <c r="C9" i="3"/>
  <c r="C3" i="3"/>
  <c r="D6" i="3"/>
  <c r="C23" i="3"/>
  <c r="D11" i="3"/>
  <c r="C24" i="3"/>
  <c r="D18" i="3"/>
  <c r="C8" i="3"/>
  <c r="C12" i="3"/>
  <c r="C5" i="3"/>
  <c r="C17" i="3"/>
  <c r="D16" i="3"/>
  <c r="D29" i="3"/>
  <c r="D34" i="3"/>
  <c r="D32" i="3"/>
  <c r="D25" i="3"/>
  <c r="D5" i="3"/>
  <c r="C13" i="3"/>
  <c r="C19" i="3"/>
  <c r="D15" i="3"/>
  <c r="C25" i="3"/>
  <c r="C7" i="3"/>
  <c r="D21" i="3"/>
  <c r="D35" i="3"/>
  <c r="D36" i="3"/>
  <c r="D26" i="3"/>
  <c r="D38" i="3"/>
  <c r="D8" i="3"/>
  <c r="D12" i="3"/>
  <c r="D20" i="3"/>
  <c r="D42" i="3"/>
  <c r="D9" i="3"/>
  <c r="C39" i="3"/>
  <c r="C10" i="3"/>
  <c r="C28" i="3"/>
  <c r="C44" i="3"/>
  <c r="E26" i="3"/>
  <c r="F4" i="3"/>
  <c r="E38" i="3"/>
  <c r="E36" i="3"/>
  <c r="F29" i="3"/>
  <c r="F7" i="3"/>
  <c r="F20" i="3"/>
  <c r="E24" i="3"/>
  <c r="E41" i="3"/>
  <c r="E28" i="3"/>
  <c r="F22" i="3"/>
  <c r="F34" i="3"/>
  <c r="E43" i="3"/>
  <c r="E22" i="3"/>
  <c r="F11" i="3"/>
  <c r="E7" i="3"/>
  <c r="E27" i="3"/>
  <c r="F15" i="3"/>
  <c r="E5" i="3"/>
  <c r="E4" i="3"/>
  <c r="F6" i="3"/>
  <c r="E2" i="3"/>
  <c r="E9" i="3"/>
  <c r="E44" i="3"/>
  <c r="E14" i="3"/>
  <c r="F44" i="3"/>
  <c r="F24" i="3"/>
  <c r="E32" i="3"/>
  <c r="E39" i="3"/>
  <c r="E11" i="3"/>
  <c r="E21" i="3"/>
  <c r="F38" i="3"/>
  <c r="E33" i="3"/>
  <c r="E19" i="3"/>
  <c r="F3" i="3"/>
  <c r="F31" i="3"/>
  <c r="F2" i="3"/>
  <c r="E17" i="3"/>
  <c r="E31" i="3"/>
  <c r="F17" i="3"/>
  <c r="E40" i="3"/>
  <c r="F16" i="3"/>
  <c r="F32" i="3"/>
  <c r="E35" i="3"/>
  <c r="E23" i="3"/>
  <c r="E6" i="3"/>
  <c r="F39" i="3"/>
  <c r="F8" i="3"/>
  <c r="F40" i="3"/>
  <c r="F14" i="3"/>
  <c r="E16" i="3"/>
  <c r="F18" i="3"/>
  <c r="E42" i="3"/>
  <c r="E8" i="3"/>
  <c r="F12" i="3"/>
  <c r="F10" i="3"/>
  <c r="F27" i="3"/>
  <c r="F35" i="3"/>
  <c r="F41" i="3"/>
  <c r="F25" i="3"/>
  <c r="F28" i="3"/>
  <c r="F36" i="3"/>
  <c r="F21" i="3"/>
  <c r="F37" i="3"/>
  <c r="E3" i="3"/>
  <c r="E20" i="3"/>
  <c r="E29" i="3"/>
  <c r="E10" i="3"/>
  <c r="E13" i="3"/>
  <c r="F42" i="3"/>
  <c r="F19" i="3"/>
  <c r="F9" i="3"/>
  <c r="E25" i="3"/>
  <c r="E34" i="3"/>
  <c r="E15" i="3"/>
  <c r="F26" i="3"/>
  <c r="E37" i="3"/>
  <c r="E30" i="3"/>
  <c r="E18" i="3"/>
  <c r="F33" i="3"/>
  <c r="F30" i="3"/>
  <c r="F13" i="3"/>
  <c r="F5" i="3"/>
  <c r="F43" i="3"/>
  <c r="F23" i="3"/>
  <c r="E12" i="3"/>
  <c r="I8" i="2"/>
  <c r="I45" i="2"/>
  <c r="I34" i="2"/>
  <c r="I31" i="2"/>
  <c r="J39" i="2"/>
  <c r="J31" i="2"/>
  <c r="I18" i="2"/>
  <c r="J32" i="2"/>
  <c r="J34" i="2"/>
  <c r="I27" i="2"/>
  <c r="J27" i="2"/>
  <c r="J35" i="2"/>
  <c r="I36" i="2"/>
  <c r="J12" i="2"/>
  <c r="J11" i="2"/>
  <c r="J42" i="2"/>
  <c r="I26" i="2"/>
  <c r="I10" i="2"/>
  <c r="J7" i="2"/>
  <c r="I42" i="2"/>
  <c r="J6" i="2"/>
  <c r="I44" i="2"/>
  <c r="J18" i="2"/>
  <c r="J25" i="2"/>
  <c r="J4" i="2"/>
  <c r="I7" i="2"/>
  <c r="I12" i="2"/>
  <c r="I16" i="2"/>
  <c r="I24" i="2"/>
  <c r="I37" i="2"/>
  <c r="I13" i="2"/>
  <c r="J30" i="2"/>
  <c r="J21" i="2"/>
  <c r="J28" i="2"/>
  <c r="J45" i="2"/>
  <c r="J38" i="2"/>
  <c r="I3" i="2"/>
  <c r="J14" i="2"/>
  <c r="J37" i="2"/>
  <c r="J15" i="2"/>
  <c r="J9" i="2"/>
  <c r="J29" i="2"/>
  <c r="I19" i="2"/>
  <c r="I6" i="2"/>
  <c r="J3" i="2"/>
  <c r="I25" i="2"/>
  <c r="I30" i="2"/>
  <c r="I32" i="2"/>
  <c r="I22" i="2"/>
  <c r="J23" i="2"/>
  <c r="I33" i="2"/>
  <c r="J5" i="2"/>
  <c r="J8" i="2"/>
  <c r="J16" i="2"/>
  <c r="I38" i="2"/>
  <c r="J41" i="2"/>
  <c r="I23" i="2"/>
  <c r="I11" i="2"/>
  <c r="J40" i="2"/>
  <c r="J20" i="2"/>
  <c r="I39" i="2"/>
  <c r="I41" i="2"/>
  <c r="I5" i="2"/>
  <c r="I20" i="2"/>
  <c r="I4" i="2"/>
  <c r="I28" i="2"/>
  <c r="I21" i="2"/>
  <c r="J10" i="2"/>
  <c r="I43" i="2"/>
  <c r="J26" i="2"/>
  <c r="J17" i="2"/>
  <c r="J43" i="2"/>
  <c r="I40" i="2"/>
  <c r="J33" i="2"/>
  <c r="I29" i="2"/>
  <c r="J19" i="2"/>
  <c r="J24" i="2"/>
  <c r="I35" i="2"/>
  <c r="I14" i="2"/>
  <c r="I15" i="2"/>
  <c r="I9" i="2"/>
  <c r="J44" i="2"/>
  <c r="J36" i="2"/>
  <c r="J22" i="2"/>
  <c r="J13" i="2"/>
  <c r="I17" i="2"/>
  <c r="G37" i="2"/>
  <c r="H15" i="2"/>
  <c r="G16" i="2"/>
  <c r="G9" i="2"/>
  <c r="H25" i="2"/>
  <c r="G32" i="2"/>
  <c r="H10" i="2"/>
  <c r="G33" i="2"/>
  <c r="G8" i="2"/>
  <c r="H13" i="2"/>
  <c r="H31" i="2"/>
  <c r="G20" i="2"/>
  <c r="H18" i="2"/>
  <c r="H23" i="2"/>
  <c r="G39" i="2"/>
  <c r="H45" i="2"/>
  <c r="G22" i="2"/>
  <c r="H32" i="2"/>
  <c r="G38" i="2"/>
  <c r="G23" i="2"/>
  <c r="H21" i="2"/>
  <c r="G27" i="2"/>
  <c r="H36" i="2"/>
  <c r="G19" i="2"/>
  <c r="H11" i="2"/>
  <c r="H14" i="2"/>
  <c r="H22" i="2"/>
  <c r="H17" i="2"/>
  <c r="H6" i="2"/>
  <c r="H5" i="2"/>
  <c r="G26" i="2"/>
  <c r="G3" i="2"/>
  <c r="H38" i="2"/>
  <c r="H30" i="2"/>
  <c r="G5" i="2"/>
  <c r="G45" i="2"/>
  <c r="H40" i="2"/>
  <c r="H43" i="2"/>
  <c r="H20" i="2"/>
  <c r="G44" i="2"/>
  <c r="G6" i="2"/>
  <c r="G42" i="2"/>
  <c r="H28" i="2"/>
  <c r="H3" i="2"/>
  <c r="G35" i="2"/>
  <c r="G18" i="2"/>
  <c r="G30" i="2"/>
  <c r="G15" i="2"/>
  <c r="H33" i="2"/>
  <c r="H9" i="2"/>
  <c r="G11" i="2"/>
  <c r="H19" i="2"/>
  <c r="G36" i="2"/>
  <c r="G10" i="2"/>
  <c r="H34" i="2"/>
  <c r="G43" i="2"/>
  <c r="H26" i="2"/>
  <c r="H16" i="2"/>
  <c r="G28" i="2"/>
  <c r="H12" i="2"/>
  <c r="H7" i="2"/>
  <c r="H42" i="2"/>
  <c r="G21" i="2"/>
  <c r="H27" i="2"/>
  <c r="G13" i="2"/>
  <c r="H24" i="2"/>
  <c r="G29" i="2"/>
  <c r="H35" i="2"/>
  <c r="G12" i="2"/>
  <c r="G24" i="2"/>
  <c r="G40" i="2"/>
  <c r="H4" i="2"/>
  <c r="G7" i="2"/>
  <c r="G14" i="2"/>
  <c r="G4" i="2"/>
  <c r="H41" i="2"/>
  <c r="H8" i="2"/>
  <c r="H37" i="2"/>
  <c r="G31" i="2"/>
  <c r="G25" i="2"/>
  <c r="H29" i="2"/>
  <c r="H39" i="2"/>
  <c r="H44" i="2"/>
  <c r="G17" i="2"/>
  <c r="G41" i="2"/>
  <c r="G34" i="2"/>
  <c r="C44" i="2"/>
  <c r="D8" i="2"/>
  <c r="C43" i="2"/>
  <c r="D23" i="2"/>
  <c r="C14" i="2"/>
  <c r="C31" i="2"/>
  <c r="D17" i="2"/>
  <c r="C9" i="2"/>
  <c r="C28" i="2"/>
  <c r="D22" i="2"/>
  <c r="C24" i="2"/>
  <c r="D14" i="2"/>
  <c r="C6" i="2"/>
  <c r="C35" i="2"/>
  <c r="D43" i="2"/>
  <c r="C36" i="2"/>
  <c r="D4" i="2"/>
  <c r="D19" i="2"/>
  <c r="D5" i="2"/>
  <c r="D7" i="2"/>
  <c r="D38" i="2"/>
  <c r="D12" i="2"/>
  <c r="C3" i="2"/>
  <c r="C16" i="2"/>
  <c r="C38" i="2"/>
  <c r="D10" i="2"/>
  <c r="C30" i="2"/>
  <c r="C39" i="2"/>
  <c r="C23" i="2"/>
  <c r="D32" i="2"/>
  <c r="D25" i="2"/>
  <c r="C10" i="2"/>
  <c r="C11" i="2"/>
  <c r="D39" i="2"/>
  <c r="C40" i="2"/>
  <c r="D33" i="2"/>
  <c r="D20" i="2"/>
  <c r="D26" i="2"/>
  <c r="C37" i="2"/>
  <c r="D31" i="2"/>
  <c r="D18" i="2"/>
  <c r="D27" i="2"/>
  <c r="D13" i="2"/>
  <c r="C45" i="2"/>
  <c r="C8" i="2"/>
  <c r="D37" i="2"/>
  <c r="C7" i="2"/>
  <c r="D36" i="2"/>
  <c r="C42" i="2"/>
  <c r="C5" i="2"/>
  <c r="C29" i="2"/>
  <c r="D21" i="2"/>
  <c r="D44" i="2"/>
  <c r="C41" i="2"/>
  <c r="C13" i="2"/>
  <c r="D3" i="2"/>
  <c r="D24" i="2"/>
  <c r="C4" i="2"/>
  <c r="C25" i="2"/>
  <c r="D41" i="2"/>
  <c r="C33" i="2"/>
  <c r="D6" i="2"/>
  <c r="C17" i="2"/>
  <c r="D9" i="2"/>
  <c r="D45" i="2"/>
  <c r="D30" i="2"/>
  <c r="D29" i="2"/>
  <c r="D15" i="2"/>
  <c r="C20" i="2"/>
  <c r="C21" i="2"/>
  <c r="D28" i="2"/>
  <c r="D16" i="2"/>
  <c r="C15" i="2"/>
  <c r="D42" i="2"/>
  <c r="C22" i="2"/>
  <c r="D34" i="2"/>
  <c r="C32" i="2"/>
  <c r="C12" i="2"/>
  <c r="C19" i="2"/>
  <c r="C18" i="2"/>
  <c r="D11" i="2"/>
  <c r="C34" i="2"/>
  <c r="D35" i="2"/>
  <c r="C27" i="2"/>
  <c r="D40" i="2"/>
  <c r="C26" i="2"/>
  <c r="B15" i="2"/>
  <c r="B31" i="2"/>
  <c r="A41" i="2"/>
  <c r="B22" i="2"/>
  <c r="A21" i="2"/>
  <c r="A11" i="2"/>
  <c r="A14" i="2"/>
  <c r="A37" i="2"/>
  <c r="B41" i="2"/>
  <c r="A23" i="2"/>
  <c r="A15" i="2"/>
  <c r="A5" i="2"/>
  <c r="A28" i="2"/>
  <c r="B14" i="2"/>
  <c r="A30" i="2"/>
  <c r="B42" i="2"/>
  <c r="B6" i="2"/>
  <c r="B13" i="2"/>
  <c r="A26" i="2"/>
  <c r="A24" i="2"/>
  <c r="A4" i="2"/>
  <c r="B12" i="2"/>
  <c r="B24" i="2"/>
  <c r="A18" i="2"/>
  <c r="A42" i="2"/>
  <c r="B29" i="2"/>
  <c r="B25" i="2"/>
  <c r="B10" i="2"/>
  <c r="B30" i="2"/>
  <c r="A29" i="2"/>
  <c r="B7" i="2"/>
  <c r="B16" i="2"/>
  <c r="B8" i="2"/>
  <c r="B23" i="2"/>
  <c r="A3" i="2"/>
  <c r="B17" i="2"/>
  <c r="B34" i="2"/>
  <c r="A31" i="2"/>
  <c r="B18" i="2"/>
  <c r="B35" i="2"/>
  <c r="A17" i="2"/>
  <c r="A40" i="2"/>
  <c r="A39" i="2"/>
  <c r="B32" i="2"/>
  <c r="A44" i="2"/>
  <c r="A13" i="2"/>
  <c r="A12" i="2"/>
  <c r="B27" i="2"/>
  <c r="A36" i="2"/>
  <c r="B20" i="2"/>
  <c r="A34" i="2"/>
  <c r="A7" i="2"/>
  <c r="A25" i="2"/>
  <c r="B39" i="2"/>
  <c r="B26" i="2"/>
  <c r="A35" i="2"/>
  <c r="B45" i="2"/>
  <c r="B44" i="2"/>
  <c r="B33" i="2"/>
  <c r="A10" i="2"/>
  <c r="A22" i="2"/>
  <c r="A16" i="2"/>
  <c r="A9" i="2"/>
  <c r="B4" i="2"/>
  <c r="B19" i="2"/>
  <c r="B36" i="2"/>
  <c r="A33" i="2"/>
  <c r="B40" i="2"/>
  <c r="B21" i="2"/>
  <c r="A19" i="2"/>
  <c r="B11" i="2"/>
  <c r="B38" i="2"/>
  <c r="A32" i="2"/>
  <c r="A38" i="2"/>
  <c r="B3" i="2"/>
  <c r="B5" i="2"/>
  <c r="B28" i="2"/>
  <c r="A8" i="2"/>
  <c r="A6" i="2"/>
  <c r="A27" i="2"/>
  <c r="B37" i="2"/>
  <c r="A43" i="2"/>
  <c r="A20" i="2"/>
  <c r="A45" i="2"/>
  <c r="B9" i="2"/>
  <c r="B43" i="2"/>
  <c r="J31" i="3"/>
  <c r="I18" i="3"/>
  <c r="I29" i="3"/>
  <c r="J42" i="3"/>
  <c r="J32" i="3"/>
  <c r="J7" i="3"/>
  <c r="I43" i="3"/>
  <c r="J28" i="3"/>
  <c r="I2" i="3"/>
  <c r="J30" i="3"/>
  <c r="J13" i="3"/>
  <c r="J41" i="3"/>
  <c r="I4" i="3"/>
  <c r="J4" i="3"/>
  <c r="J16" i="3"/>
  <c r="I40" i="3"/>
  <c r="I9" i="3"/>
  <c r="I11" i="3"/>
  <c r="J6" i="3"/>
  <c r="I37" i="3"/>
  <c r="J10" i="3"/>
  <c r="J5" i="3"/>
  <c r="I14" i="3"/>
  <c r="J8" i="3"/>
  <c r="I12" i="3"/>
  <c r="I3" i="3"/>
  <c r="J40" i="3"/>
  <c r="J19" i="3"/>
  <c r="I32" i="3"/>
  <c r="I24" i="3"/>
  <c r="J44" i="3"/>
  <c r="J25" i="3"/>
  <c r="J38" i="3"/>
  <c r="I25" i="3"/>
  <c r="I22" i="3"/>
  <c r="I23" i="3"/>
  <c r="J18" i="3"/>
  <c r="I35" i="3"/>
  <c r="I39" i="3"/>
  <c r="I44" i="3"/>
  <c r="J20" i="3"/>
  <c r="J9" i="3"/>
  <c r="J43" i="3"/>
  <c r="I7" i="3"/>
  <c r="J29" i="3"/>
  <c r="I30" i="3"/>
  <c r="J26" i="3"/>
  <c r="I31" i="3"/>
  <c r="I10" i="3"/>
  <c r="J17" i="3"/>
  <c r="I6" i="3"/>
  <c r="I41" i="3"/>
  <c r="I28" i="3"/>
  <c r="I19" i="3"/>
  <c r="J33" i="3"/>
  <c r="J2" i="3"/>
  <c r="I15" i="3"/>
  <c r="I42" i="3"/>
  <c r="I13" i="3"/>
  <c r="I36" i="3"/>
  <c r="I38" i="3"/>
  <c r="J34" i="3"/>
  <c r="J35" i="3"/>
  <c r="J15" i="3"/>
  <c r="J22" i="3"/>
  <c r="I26" i="3"/>
  <c r="I33" i="3"/>
  <c r="J14" i="3"/>
  <c r="I20" i="3"/>
  <c r="J23" i="3"/>
  <c r="J21" i="3"/>
  <c r="J24" i="3"/>
  <c r="J37" i="3"/>
  <c r="J12" i="3"/>
  <c r="J39" i="3"/>
  <c r="I17" i="3"/>
  <c r="J3" i="3"/>
  <c r="J36" i="3"/>
  <c r="I21" i="3"/>
  <c r="I27" i="3"/>
  <c r="I8" i="3"/>
  <c r="J11" i="3"/>
  <c r="J27" i="3"/>
  <c r="I16" i="3"/>
  <c r="I34" i="3"/>
  <c r="I5" i="3"/>
  <c r="A26" i="3"/>
  <c r="A17" i="3"/>
  <c r="B20" i="3"/>
  <c r="B33" i="3"/>
  <c r="B10" i="3"/>
  <c r="B3" i="3"/>
  <c r="A36" i="3"/>
  <c r="A11" i="3"/>
  <c r="A22" i="3"/>
  <c r="B5" i="3"/>
  <c r="B23" i="3"/>
  <c r="A20" i="3"/>
  <c r="A38" i="3"/>
  <c r="A16" i="3"/>
  <c r="A41" i="3"/>
  <c r="B42" i="3"/>
  <c r="B18" i="3"/>
  <c r="B38" i="3"/>
  <c r="A5" i="3"/>
  <c r="A18" i="3"/>
  <c r="A32" i="3"/>
  <c r="B9" i="3"/>
  <c r="B11" i="3"/>
  <c r="B41" i="3"/>
  <c r="B17" i="3"/>
  <c r="B36" i="3"/>
  <c r="A6" i="3"/>
  <c r="A35" i="3"/>
  <c r="A43" i="3"/>
  <c r="B40" i="3"/>
  <c r="A29" i="3"/>
  <c r="B25" i="3"/>
  <c r="A44" i="3"/>
  <c r="B13" i="3"/>
  <c r="A14" i="3"/>
  <c r="B28" i="3"/>
  <c r="A12" i="3"/>
  <c r="A40" i="3"/>
  <c r="A33" i="3"/>
  <c r="A28" i="3"/>
  <c r="B6" i="3"/>
  <c r="A3" i="3"/>
  <c r="B19" i="3"/>
  <c r="B24" i="3"/>
  <c r="A7" i="3"/>
  <c r="A4" i="3"/>
  <c r="A30" i="3"/>
  <c r="B4" i="3"/>
  <c r="B14" i="3"/>
  <c r="B8" i="3"/>
  <c r="A24" i="3"/>
  <c r="B21" i="3"/>
  <c r="B12" i="3"/>
  <c r="A27" i="3"/>
  <c r="A13" i="3"/>
  <c r="B37" i="3"/>
  <c r="A39" i="3"/>
  <c r="B27" i="3"/>
  <c r="B29" i="3"/>
  <c r="B32" i="3"/>
  <c r="A37" i="3"/>
  <c r="A31" i="3"/>
  <c r="B44" i="3"/>
  <c r="A25" i="3"/>
  <c r="B39" i="3"/>
  <c r="A8" i="3"/>
  <c r="B30" i="3"/>
  <c r="B34" i="3"/>
  <c r="A42" i="3"/>
  <c r="A23" i="3"/>
  <c r="A2" i="3"/>
  <c r="B2" i="3"/>
  <c r="B22" i="3"/>
  <c r="B35" i="3"/>
  <c r="B15" i="3"/>
  <c r="A21" i="3"/>
  <c r="A9" i="3"/>
  <c r="B43" i="3"/>
  <c r="A19" i="3"/>
  <c r="A34" i="3"/>
  <c r="B16" i="3"/>
  <c r="B31" i="3"/>
  <c r="B26" i="3"/>
  <c r="A10" i="3"/>
  <c r="A15" i="3"/>
  <c r="B7" i="3"/>
  <c r="H30" i="3"/>
  <c r="H3" i="3"/>
  <c r="H37" i="3"/>
  <c r="G41" i="3"/>
  <c r="H15" i="3"/>
  <c r="H26" i="3"/>
  <c r="H43" i="3"/>
  <c r="H17" i="3"/>
  <c r="G33" i="3"/>
  <c r="G28" i="3"/>
  <c r="G8" i="3"/>
  <c r="G6" i="3"/>
  <c r="G20" i="3"/>
  <c r="H41" i="3"/>
  <c r="H10" i="3"/>
  <c r="G23" i="3"/>
  <c r="H5" i="3"/>
  <c r="G5" i="3"/>
  <c r="G31" i="3"/>
  <c r="G37" i="3"/>
  <c r="H12" i="3"/>
  <c r="H16" i="3"/>
  <c r="G44" i="3"/>
  <c r="G26" i="3"/>
  <c r="G34" i="3"/>
  <c r="H6" i="3"/>
  <c r="G2" i="3"/>
  <c r="G10" i="3"/>
  <c r="G25" i="3"/>
  <c r="G7" i="3"/>
  <c r="H24" i="3"/>
  <c r="G17" i="3"/>
  <c r="H22" i="3"/>
  <c r="G9" i="3"/>
  <c r="G19" i="3"/>
  <c r="H7" i="3"/>
  <c r="H9" i="3"/>
  <c r="H11" i="3"/>
  <c r="H29" i="3"/>
  <c r="H39" i="3"/>
  <c r="G15" i="3"/>
  <c r="G32" i="3"/>
  <c r="H28" i="3"/>
  <c r="G29" i="3"/>
  <c r="H2" i="3"/>
  <c r="H8" i="3"/>
  <c r="H18" i="3"/>
  <c r="H40" i="3"/>
  <c r="H13" i="3"/>
  <c r="G38" i="3"/>
  <c r="G35" i="3"/>
  <c r="G16" i="3"/>
  <c r="G40" i="3"/>
  <c r="H32" i="3"/>
  <c r="H25" i="3"/>
  <c r="G21" i="3"/>
  <c r="G11" i="3"/>
  <c r="G18" i="3"/>
  <c r="H35" i="3"/>
  <c r="H20" i="3"/>
  <c r="G24" i="3"/>
  <c r="G14" i="3"/>
  <c r="H33" i="3"/>
  <c r="H23" i="3"/>
  <c r="H36" i="3"/>
  <c r="H27" i="3"/>
  <c r="G36" i="3"/>
  <c r="G12" i="3"/>
  <c r="G42" i="3"/>
  <c r="H31" i="3"/>
  <c r="H19" i="3"/>
  <c r="H21" i="3"/>
  <c r="H42" i="3"/>
  <c r="H34" i="3"/>
  <c r="G39" i="3"/>
  <c r="H38" i="3"/>
  <c r="H4" i="3"/>
  <c r="G27" i="3"/>
  <c r="G22" i="3"/>
  <c r="G13" i="3"/>
  <c r="G4" i="3"/>
  <c r="H14" i="3"/>
  <c r="G3" i="3"/>
  <c r="H44" i="3"/>
  <c r="G30" i="3"/>
  <c r="G43" i="3"/>
  <c r="E26" i="2"/>
  <c r="F40" i="2"/>
  <c r="E11" i="2"/>
  <c r="E19" i="2"/>
  <c r="F25" i="2"/>
  <c r="E42" i="2"/>
  <c r="F11" i="2"/>
  <c r="F5" i="2"/>
  <c r="F23" i="2"/>
  <c r="E36" i="2"/>
  <c r="E22" i="2"/>
  <c r="F34" i="2"/>
  <c r="E18" i="2"/>
  <c r="F28" i="2"/>
  <c r="E13" i="2"/>
  <c r="F38" i="2"/>
  <c r="F27" i="2"/>
  <c r="E6" i="2"/>
  <c r="F35" i="2"/>
  <c r="F39" i="2"/>
  <c r="F20" i="2"/>
  <c r="E31" i="2"/>
  <c r="F30" i="2"/>
  <c r="F33" i="2"/>
  <c r="E40" i="2"/>
  <c r="E29" i="2"/>
  <c r="F19" i="2"/>
  <c r="E30" i="2"/>
  <c r="E17" i="2"/>
  <c r="E25" i="2"/>
  <c r="F21" i="2"/>
  <c r="F36" i="2"/>
  <c r="E9" i="2"/>
  <c r="E28" i="2"/>
  <c r="F42" i="2"/>
  <c r="E44" i="2"/>
  <c r="E41" i="2"/>
  <c r="F4" i="2"/>
  <c r="E14" i="2"/>
  <c r="E35" i="2"/>
  <c r="E4" i="2"/>
  <c r="E20" i="2"/>
  <c r="E23" i="2"/>
  <c r="F9" i="2"/>
  <c r="F44" i="2"/>
  <c r="E32" i="2"/>
  <c r="E8" i="2"/>
  <c r="E45" i="2"/>
  <c r="F13" i="2"/>
  <c r="E37" i="2"/>
  <c r="F32" i="2"/>
  <c r="E27" i="2"/>
  <c r="F8" i="2"/>
  <c r="E3" i="2"/>
  <c r="F14" i="2"/>
  <c r="F41" i="2"/>
  <c r="E16" i="2"/>
  <c r="F43" i="2"/>
  <c r="E39" i="2"/>
  <c r="F15" i="2"/>
  <c r="E38" i="2"/>
  <c r="E15" i="2"/>
  <c r="E12" i="2"/>
  <c r="E10" i="2"/>
  <c r="E24" i="2"/>
  <c r="E21" i="2"/>
  <c r="F6" i="2"/>
  <c r="F7" i="2"/>
  <c r="F16" i="2"/>
  <c r="F10" i="2"/>
  <c r="F24" i="2"/>
  <c r="E33" i="2"/>
  <c r="E43" i="2"/>
  <c r="E34" i="2"/>
  <c r="E7" i="2"/>
  <c r="F18" i="2"/>
  <c r="F29" i="2"/>
  <c r="F22" i="2"/>
  <c r="F45" i="2"/>
  <c r="F3" i="2"/>
  <c r="F17" i="2"/>
  <c r="F31" i="2"/>
  <c r="E5" i="2"/>
  <c r="F12" i="2"/>
  <c r="F37" i="2"/>
  <c r="F26" i="2"/>
</calcChain>
</file>

<file path=xl/sharedStrings.xml><?xml version="1.0" encoding="utf-8"?>
<sst xmlns="http://schemas.openxmlformats.org/spreadsheetml/2006/main" count="11" uniqueCount="6">
  <si>
    <t>Date</t>
  </si>
  <si>
    <t>USDOIS</t>
  </si>
  <si>
    <t>USDLIB3M</t>
  </si>
  <si>
    <t>USDLIB1M</t>
  </si>
  <si>
    <t>USDLIB6M</t>
  </si>
  <si>
    <t>USDLIB12M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</si>
</sst>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/>
    <xf numFmtId="14" fontId="0" fillId="3" borderId="0" xfId="0" applyNumberFormat="1" applyFill="1"/>
    <xf numFmtId="14" fontId="0" fillId="4" borderId="0" xfId="0" applyNumberFormat="1" applyFill="1"/>
    <xf numFmtId="0" fontId="0" fillId="4" borderId="0" xfId="0" applyFill="1"/>
    <xf numFmtId="14" fontId="0" fillId="5" borderId="0" xfId="0" applyNumberFormat="1" applyFill="1"/>
    <xf numFmtId="0" fontId="0" fillId="5" borderId="0" xfId="0" applyFill="1"/>
    <xf numFmtId="0" fontId="3" fillId="0" borderId="0" xfId="0" applyFont="1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</xdr:row>
          <xdr:rowOff>180975</xdr:rowOff>
        </xdr:from>
        <xdr:to>
          <xdr:col>13</xdr:col>
          <xdr:colOff>304800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IR Curves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7</xdr:row>
          <xdr:rowOff>114300</xdr:rowOff>
        </xdr:from>
        <xdr:to>
          <xdr:col>13</xdr:col>
          <xdr:colOff>333375</xdr:colOff>
          <xdr:row>11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5"/>
  <sheetViews>
    <sheetView tabSelected="1" workbookViewId="0">
      <selection activeCell="Q12" sqref="Q12"/>
    </sheetView>
  </sheetViews>
  <sheetFormatPr defaultRowHeight="15" x14ac:dyDescent="0.25"/>
  <cols>
    <col min="1" max="1" width="11.28515625" customWidth="1"/>
    <col min="2" max="2" width="17.42578125" customWidth="1"/>
    <col min="3" max="3" width="10.7109375" bestFit="1" customWidth="1"/>
    <col min="4" max="4" width="17.85546875" bestFit="1" customWidth="1"/>
    <col min="5" max="5" width="10.7109375" bestFit="1" customWidth="1"/>
    <col min="6" max="6" width="17.85546875" bestFit="1" customWidth="1"/>
    <col min="7" max="7" width="10.140625" bestFit="1" customWidth="1"/>
    <col min="8" max="8" width="17.85546875" bestFit="1" customWidth="1"/>
    <col min="9" max="9" width="11.140625" bestFit="1" customWidth="1"/>
    <col min="10" max="10" width="17.85546875" bestFit="1" customWidth="1"/>
  </cols>
  <sheetData>
    <row r="1" spans="1:12" x14ac:dyDescent="0.25">
      <c r="A1" s="1" t="s">
        <v>0</v>
      </c>
      <c r="B1" s="2">
        <v>42185</v>
      </c>
      <c r="D1">
        <f>_xll.qlIRCurveLoadCurveFromDisk(B1)</f>
        <v>42185</v>
      </c>
      <c r="L1" s="7" t="str">
        <f>_xll.qlOpRootPath()</f>
        <v>C:\Letian\QLExtension\Output\</v>
      </c>
    </row>
    <row r="2" spans="1:12" x14ac:dyDescent="0.25">
      <c r="A2" s="1" t="s">
        <v>1</v>
      </c>
      <c r="B2" s="1"/>
      <c r="C2" s="1" t="s">
        <v>3</v>
      </c>
      <c r="D2" s="1"/>
      <c r="E2" s="1" t="s">
        <v>2</v>
      </c>
      <c r="F2" s="1"/>
      <c r="G2" s="1" t="s">
        <v>4</v>
      </c>
      <c r="H2" s="1"/>
      <c r="I2" s="1" t="s">
        <v>5</v>
      </c>
      <c r="J2" s="1"/>
    </row>
    <row r="3" spans="1:12" x14ac:dyDescent="0.25">
      <c r="A3" s="5">
        <f t="array" ref="A3:B45">_xll.qlIRCurveDisplayDiscountCurve(A2)</f>
        <v>42185</v>
      </c>
      <c r="B3" s="6" t="str">
        <v>1</v>
      </c>
      <c r="C3" s="3">
        <f t="array" ref="C3:D45">_xll.qlIRCurveDisplayDiscountCurve(C2)</f>
        <v>42185</v>
      </c>
      <c r="D3" s="4" t="str">
        <v>1</v>
      </c>
      <c r="E3" s="5">
        <f t="array" ref="E3:F45">_xll.qlIRCurveDisplayDiscountCurve(E2)</f>
        <v>42185</v>
      </c>
      <c r="F3" s="6" t="str">
        <v>1</v>
      </c>
      <c r="G3" s="3">
        <f t="array" ref="G3:H45">_xll.qlIRCurveDisplayDiscountCurve(G2)</f>
        <v>42185</v>
      </c>
      <c r="H3" s="4" t="str">
        <v>1</v>
      </c>
      <c r="I3" s="5">
        <f t="array" ref="I3:J45">_xll.qlIRCurveDisplayDiscountCurve(I2)</f>
        <v>42185</v>
      </c>
      <c r="J3" s="6" t="str">
        <v>1</v>
      </c>
    </row>
    <row r="4" spans="1:12" x14ac:dyDescent="0.25">
      <c r="A4" s="5">
        <v>42188</v>
      </c>
      <c r="B4" s="6" t="str">
        <v>0.999988333424074</v>
      </c>
      <c r="C4" s="3">
        <v>42279</v>
      </c>
      <c r="D4" s="4" t="str">
        <v>0.999340289758751</v>
      </c>
      <c r="E4" s="5">
        <v>42279</v>
      </c>
      <c r="F4" s="6" t="str">
        <v>0.999188857033663</v>
      </c>
      <c r="G4" s="3">
        <v>42555</v>
      </c>
      <c r="H4" s="4" t="str">
        <v>0.993284298165348</v>
      </c>
      <c r="I4" s="5">
        <v>42555</v>
      </c>
      <c r="J4" s="6" t="str">
        <v>0.991648945599098</v>
      </c>
    </row>
    <row r="5" spans="1:12" x14ac:dyDescent="0.25">
      <c r="A5" s="5">
        <v>42194</v>
      </c>
      <c r="B5" s="6" t="str">
        <v>0.999964514917492</v>
      </c>
      <c r="C5" s="3">
        <v>42373</v>
      </c>
      <c r="D5" s="4" t="str">
        <v>0.998251366140521</v>
      </c>
      <c r="E5" s="5">
        <v>42298</v>
      </c>
      <c r="F5" s="6" t="str">
        <v>0.998959638457925</v>
      </c>
      <c r="G5" s="3">
        <v>42738</v>
      </c>
      <c r="H5" s="4" t="str">
        <v>0.987478538278558</v>
      </c>
      <c r="I5" s="5">
        <v>42919</v>
      </c>
      <c r="J5" s="6" t="str">
        <v>0.977139331363158</v>
      </c>
    </row>
    <row r="6" spans="1:12" x14ac:dyDescent="0.25">
      <c r="A6" s="5">
        <v>42201</v>
      </c>
      <c r="B6" s="6" t="str">
        <v>0.999936809102764</v>
      </c>
      <c r="C6" s="3">
        <v>42464</v>
      </c>
      <c r="D6" s="4" t="str">
        <v>0.996799097196454</v>
      </c>
      <c r="E6" s="5">
        <v>42326</v>
      </c>
      <c r="F6" s="6" t="str">
        <v>0.998559245305229</v>
      </c>
      <c r="G6" s="3">
        <v>42919</v>
      </c>
      <c r="H6" s="4" t="str">
        <v>0.979823790033479</v>
      </c>
      <c r="I6" s="5">
        <v>43283</v>
      </c>
      <c r="J6" s="6" t="str">
        <v>0.956192676727356</v>
      </c>
    </row>
    <row r="7" spans="1:12" x14ac:dyDescent="0.25">
      <c r="A7" s="5">
        <v>42208</v>
      </c>
      <c r="B7" s="6" t="str">
        <v>0.99991231260861</v>
      </c>
      <c r="C7" s="3">
        <v>42555</v>
      </c>
      <c r="D7" s="4" t="str">
        <v>0.995103489240308</v>
      </c>
      <c r="E7" s="5">
        <v>42354</v>
      </c>
      <c r="F7" s="6" t="str">
        <v>0.99815463656848</v>
      </c>
      <c r="G7" s="3">
        <v>43283</v>
      </c>
      <c r="H7" s="4" t="str">
        <v>0.960435869109951</v>
      </c>
      <c r="I7" s="5">
        <v>43648</v>
      </c>
      <c r="J7" s="6" t="str">
        <v>0.931011455428084</v>
      </c>
    </row>
    <row r="8" spans="1:12" x14ac:dyDescent="0.25">
      <c r="A8" s="5">
        <v>42219</v>
      </c>
      <c r="B8" s="6" t="str">
        <v>0.999870460264876</v>
      </c>
      <c r="C8" s="3">
        <v>42738</v>
      </c>
      <c r="D8" s="4" t="str">
        <v>0.990242787573223</v>
      </c>
      <c r="E8" s="5">
        <v>42389</v>
      </c>
      <c r="F8" s="6" t="str">
        <v>0.99766248232645</v>
      </c>
      <c r="G8" s="3">
        <v>43648</v>
      </c>
      <c r="H8" s="4" t="str">
        <v>0.936418827647792</v>
      </c>
      <c r="I8" s="5">
        <v>44014</v>
      </c>
      <c r="J8" s="6" t="str">
        <v>0.904760971059309</v>
      </c>
    </row>
    <row r="9" spans="1:12" x14ac:dyDescent="0.25">
      <c r="A9" s="5">
        <v>42249</v>
      </c>
      <c r="B9" s="6" t="str">
        <v>0.999700393061185</v>
      </c>
      <c r="C9" s="3">
        <v>42919</v>
      </c>
      <c r="D9" s="4" t="str">
        <v>0.983578907107274</v>
      </c>
      <c r="E9" s="5">
        <v>42417</v>
      </c>
      <c r="F9" s="6" t="str">
        <v>0.997124901105197</v>
      </c>
      <c r="G9" s="3">
        <v>44014</v>
      </c>
      <c r="H9" s="4" t="str">
        <v>0.911272077985102</v>
      </c>
      <c r="I9" s="5">
        <v>44746</v>
      </c>
      <c r="J9" s="6" t="str">
        <v>0.849847671365983</v>
      </c>
    </row>
    <row r="10" spans="1:12" x14ac:dyDescent="0.25">
      <c r="A10" s="5">
        <v>42279</v>
      </c>
      <c r="B10" s="6" t="str">
        <v>0.999472441071988</v>
      </c>
      <c r="C10" s="3">
        <v>43283</v>
      </c>
      <c r="D10" s="4" t="str">
        <v>0.966103214950489</v>
      </c>
      <c r="E10" s="5">
        <v>42445</v>
      </c>
      <c r="F10" s="6" t="str">
        <v>0.996583598300716</v>
      </c>
      <c r="G10" s="3">
        <v>44746</v>
      </c>
      <c r="H10" s="4" t="str">
        <v>0.858537984161706</v>
      </c>
      <c r="I10" s="5">
        <v>45840</v>
      </c>
      <c r="J10" s="6" t="str">
        <v>0.769823043620418</v>
      </c>
    </row>
    <row r="11" spans="1:12" x14ac:dyDescent="0.25">
      <c r="A11" s="5">
        <v>42310</v>
      </c>
      <c r="B11" s="6" t="str">
        <v>0.9992462433117</v>
      </c>
      <c r="C11" s="3">
        <v>43648</v>
      </c>
      <c r="D11" s="4" t="str">
        <v>0.943902872482847</v>
      </c>
      <c r="E11" s="5">
        <v>42536</v>
      </c>
      <c r="F11" s="6" t="str">
        <v>0.99470332605505</v>
      </c>
      <c r="G11" s="3">
        <v>45840</v>
      </c>
      <c r="H11" s="4" t="str">
        <v>0.780748434260564</v>
      </c>
      <c r="I11" s="5">
        <v>46570</v>
      </c>
      <c r="J11" s="6" t="str">
        <v>0.720076847835754</v>
      </c>
    </row>
    <row r="12" spans="1:12" x14ac:dyDescent="0.25">
      <c r="A12" s="5">
        <v>42340</v>
      </c>
      <c r="B12" s="6" t="str">
        <v>0.99894994287095</v>
      </c>
      <c r="C12" s="3">
        <v>44014</v>
      </c>
      <c r="D12" s="4" t="str">
        <v>0.920558746769541</v>
      </c>
      <c r="E12" s="5">
        <v>42634</v>
      </c>
      <c r="F12" s="6" t="str">
        <v>0.992148708621194</v>
      </c>
      <c r="G12" s="3">
        <v>46570</v>
      </c>
      <c r="H12" s="4" t="str">
        <v>0.731784496044864</v>
      </c>
      <c r="I12" s="5">
        <v>47666</v>
      </c>
      <c r="J12" s="6" t="str">
        <v>0.650445042608277</v>
      </c>
    </row>
    <row r="13" spans="1:12" x14ac:dyDescent="0.25">
      <c r="A13" s="5">
        <v>42373</v>
      </c>
      <c r="B13" s="6" t="str">
        <v>0.998578567875004</v>
      </c>
      <c r="C13" s="3">
        <v>44379</v>
      </c>
      <c r="D13" s="4" t="str">
        <v>0.895813632414473</v>
      </c>
      <c r="E13" s="5">
        <v>42725</v>
      </c>
      <c r="F13" s="6" t="str">
        <v>0.989251765402216</v>
      </c>
      <c r="G13" s="3">
        <v>47666</v>
      </c>
      <c r="H13" s="4" t="str">
        <v>0.66425893913467</v>
      </c>
      <c r="I13" s="5">
        <v>49492</v>
      </c>
      <c r="J13" s="6" t="str">
        <v>0.550947695589785</v>
      </c>
    </row>
    <row r="14" spans="1:12" x14ac:dyDescent="0.25">
      <c r="A14" s="5">
        <v>42464</v>
      </c>
      <c r="B14" s="6" t="str">
        <v>0.997310247239797</v>
      </c>
      <c r="C14" s="3">
        <v>44746</v>
      </c>
      <c r="D14" s="4" t="str">
        <v>0.870534003732302</v>
      </c>
      <c r="E14" s="5">
        <v>42809</v>
      </c>
      <c r="F14" s="6" t="str">
        <v>0.986109054007979</v>
      </c>
      <c r="G14" s="3">
        <v>49492</v>
      </c>
      <c r="H14" s="4" t="str">
        <v>0.56665069997744</v>
      </c>
      <c r="I14" s="5">
        <v>51319</v>
      </c>
      <c r="J14" s="6" t="str">
        <v>0.469750204125679</v>
      </c>
    </row>
    <row r="15" spans="1:12" x14ac:dyDescent="0.25">
      <c r="A15" s="5">
        <v>42555</v>
      </c>
      <c r="B15" s="6" t="str">
        <v>0.995595671781016</v>
      </c>
      <c r="C15" s="3">
        <v>45840</v>
      </c>
      <c r="D15" s="4" t="str">
        <v>0.795901086163119</v>
      </c>
      <c r="E15" s="5">
        <v>42907</v>
      </c>
      <c r="F15" s="6" t="str">
        <v>0.981999601707958</v>
      </c>
      <c r="G15" s="3">
        <v>51319</v>
      </c>
      <c r="H15" s="4" t="str">
        <v>0.486127752878928</v>
      </c>
      <c r="I15" s="5">
        <v>53146</v>
      </c>
      <c r="J15" s="6" t="str">
        <v>0.401301681013342</v>
      </c>
    </row>
    <row r="16" spans="1:12" x14ac:dyDescent="0.25">
      <c r="A16" s="5">
        <v>42737</v>
      </c>
      <c r="B16" s="6" t="str">
        <v>0.990802285617469</v>
      </c>
      <c r="C16" s="3">
        <v>46570</v>
      </c>
      <c r="D16" s="4" t="str">
        <v>0.748918293579718</v>
      </c>
      <c r="E16" s="5">
        <v>42998</v>
      </c>
      <c r="F16" s="6" t="str">
        <v>0.977789500096359</v>
      </c>
      <c r="G16" s="3">
        <v>53146</v>
      </c>
      <c r="H16" s="4" t="str">
        <v>0.418165422474957</v>
      </c>
      <c r="I16" s="5" t="e">
        <v>#N/A</v>
      </c>
      <c r="J16" s="6" t="e">
        <v>#N/A</v>
      </c>
      <c r="L16" t="str">
        <f>_xll.qlCurveIRIndex(A2,,A2)</f>
        <v>IDX@USDOIS#12:46:03</v>
      </c>
    </row>
    <row r="17" spans="1:12" x14ac:dyDescent="0.25">
      <c r="A17" s="5">
        <v>42919</v>
      </c>
      <c r="B17" s="6" t="str">
        <v>0.984301215315976</v>
      </c>
      <c r="C17" s="3">
        <v>47666</v>
      </c>
      <c r="D17" s="4" t="str">
        <v>0.683965271980764</v>
      </c>
      <c r="E17" s="5">
        <v>43089</v>
      </c>
      <c r="F17" s="6" t="str">
        <v>0.973253138221273</v>
      </c>
      <c r="G17" s="3" t="e">
        <v>#N/A</v>
      </c>
      <c r="H17" s="4" t="e">
        <v>#N/A</v>
      </c>
      <c r="I17" s="5" t="e">
        <v>#N/A</v>
      </c>
      <c r="J17" s="6" t="e">
        <v>#N/A</v>
      </c>
      <c r="L17" t="str">
        <f>_xll.qlCurveIRIndex(C2,,C2)</f>
        <v>IDX@USDLIB1M#12:46:03</v>
      </c>
    </row>
    <row r="18" spans="1:12" x14ac:dyDescent="0.25">
      <c r="A18" s="5">
        <v>43283</v>
      </c>
      <c r="B18" s="6" t="str">
        <v>0.967625974433275</v>
      </c>
      <c r="C18" s="3">
        <v>49492</v>
      </c>
      <c r="D18" s="4" t="str">
        <v>0.590198997903701</v>
      </c>
      <c r="E18" s="5">
        <v>43180</v>
      </c>
      <c r="F18" s="6" t="str">
        <v>0.968408804953263</v>
      </c>
      <c r="G18" s="3" t="e">
        <v>#N/A</v>
      </c>
      <c r="H18" s="4" t="e">
        <v>#N/A</v>
      </c>
      <c r="I18" s="5" t="e">
        <v>#N/A</v>
      </c>
      <c r="J18" s="6" t="e">
        <v>#N/A</v>
      </c>
      <c r="L18" t="str">
        <f>_xll.qlCurveIRIndex(E2,,E2)</f>
        <v>IDX@USDLIB3M#12:46:03</v>
      </c>
    </row>
    <row r="19" spans="1:12" x14ac:dyDescent="0.25">
      <c r="A19" s="5">
        <v>43648</v>
      </c>
      <c r="B19" s="6" t="str">
        <v>0.947158675844443</v>
      </c>
      <c r="C19" s="3">
        <v>51319</v>
      </c>
      <c r="D19" s="4" t="str">
        <v>0.511783345935294</v>
      </c>
      <c r="E19" s="5">
        <v>43271</v>
      </c>
      <c r="F19" s="6" t="str">
        <v>0.963323008778384</v>
      </c>
      <c r="G19" s="3" t="e">
        <v>#N/A</v>
      </c>
      <c r="H19" s="4" t="e">
        <v>#N/A</v>
      </c>
      <c r="I19" s="5" t="e">
        <v>#N/A</v>
      </c>
      <c r="J19" s="6" t="e">
        <v>#N/A</v>
      </c>
      <c r="L19" t="str">
        <f>_xll.qlCurveIRIndex(G2,,"CRV@"&amp;G2)</f>
        <v>IDX@USDLIB6M#12:46:03</v>
      </c>
    </row>
    <row r="20" spans="1:12" x14ac:dyDescent="0.25">
      <c r="A20" s="5">
        <v>44014</v>
      </c>
      <c r="B20" s="6" t="str">
        <v>0.924467094387068</v>
      </c>
      <c r="C20" s="3">
        <v>53146</v>
      </c>
      <c r="D20" s="4" t="str">
        <v>0.445101731878599</v>
      </c>
      <c r="E20" s="5">
        <v>43362</v>
      </c>
      <c r="F20" s="6" t="str">
        <v>0.958013318687006</v>
      </c>
      <c r="G20" s="3" t="e">
        <v>#N/A</v>
      </c>
      <c r="H20" s="4" t="e">
        <v>#N/A</v>
      </c>
      <c r="I20" s="5" t="e">
        <v>#N/A</v>
      </c>
      <c r="J20" s="6" t="e">
        <v>#N/A</v>
      </c>
      <c r="L20" t="str">
        <f>_xll.qlCurveIRIndex(I2,,"CRV@"&amp;I2)</f>
        <v>IDX@USDLIB12M#12:46:03</v>
      </c>
    </row>
    <row r="21" spans="1:12" x14ac:dyDescent="0.25">
      <c r="A21" s="5">
        <v>44746</v>
      </c>
      <c r="B21" s="6" t="str">
        <v>0.876296522794709</v>
      </c>
      <c r="C21" s="3" t="e">
        <v>#N/A</v>
      </c>
      <c r="D21" s="4" t="e">
        <v>#N/A</v>
      </c>
      <c r="E21" s="5">
        <v>43648</v>
      </c>
      <c r="F21" s="6" t="str">
        <v>0.939159946890253</v>
      </c>
      <c r="G21" s="3" t="e">
        <v>#N/A</v>
      </c>
      <c r="H21" s="4" t="e">
        <v>#N/A</v>
      </c>
      <c r="I21" s="5" t="e">
        <v>#N/A</v>
      </c>
      <c r="J21" s="6" t="e">
        <v>#N/A</v>
      </c>
    </row>
    <row r="22" spans="1:12" x14ac:dyDescent="0.25">
      <c r="A22" s="5">
        <v>45840</v>
      </c>
      <c r="B22" s="6" t="str">
        <v>0.80385226058548</v>
      </c>
      <c r="C22" s="3" t="e">
        <v>#N/A</v>
      </c>
      <c r="D22" s="4" t="e">
        <v>#N/A</v>
      </c>
      <c r="E22" s="5">
        <v>44014</v>
      </c>
      <c r="F22" s="6" t="str">
        <v>0.914610535669216</v>
      </c>
      <c r="G22" s="3" t="e">
        <v>#N/A</v>
      </c>
      <c r="H22" s="4" t="e">
        <v>#N/A</v>
      </c>
      <c r="I22" s="5" t="e">
        <v>#N/A</v>
      </c>
      <c r="J22" s="6" t="e">
        <v>#N/A</v>
      </c>
    </row>
    <row r="23" spans="1:12" x14ac:dyDescent="0.25">
      <c r="A23" s="5">
        <v>46570</v>
      </c>
      <c r="B23" s="6" t="str">
        <v>0.7592864187684</v>
      </c>
      <c r="C23" s="3" t="e">
        <v>#N/A</v>
      </c>
      <c r="D23" s="4" t="e">
        <v>#N/A</v>
      </c>
      <c r="E23" s="5">
        <v>44379</v>
      </c>
      <c r="F23" s="6" t="str">
        <v>0.888990829308196</v>
      </c>
      <c r="G23" s="3" t="e">
        <v>#N/A</v>
      </c>
      <c r="H23" s="4" t="e">
        <v>#N/A</v>
      </c>
      <c r="I23" s="5" t="e">
        <v>#N/A</v>
      </c>
      <c r="J23" s="6" t="e">
        <v>#N/A</v>
      </c>
    </row>
    <row r="24" spans="1:12" x14ac:dyDescent="0.25">
      <c r="A24" s="5">
        <v>47666</v>
      </c>
      <c r="B24" s="6" t="str">
        <v>0.696328360961011</v>
      </c>
      <c r="C24" s="3" t="e">
        <v>#N/A</v>
      </c>
      <c r="D24" s="4" t="e">
        <v>#N/A</v>
      </c>
      <c r="E24" s="5">
        <v>44746</v>
      </c>
      <c r="F24" s="6" t="str">
        <v>0.863009335714006</v>
      </c>
      <c r="G24" s="3" t="e">
        <v>#N/A</v>
      </c>
      <c r="H24" s="4" t="e">
        <v>#N/A</v>
      </c>
      <c r="I24" s="5" t="e">
        <v>#N/A</v>
      </c>
      <c r="J24" s="6" t="e">
        <v>#N/A</v>
      </c>
    </row>
    <row r="25" spans="1:12" x14ac:dyDescent="0.25">
      <c r="A25" s="5">
        <v>49492</v>
      </c>
      <c r="B25" s="6" t="str">
        <v>0.603868596613528</v>
      </c>
      <c r="C25" s="3" t="e">
        <v>#N/A</v>
      </c>
      <c r="D25" s="4" t="e">
        <v>#N/A</v>
      </c>
      <c r="E25" s="5">
        <v>45110</v>
      </c>
      <c r="F25" s="6" t="str">
        <v>0.837221135461393</v>
      </c>
      <c r="G25" s="3" t="e">
        <v>#N/A</v>
      </c>
      <c r="H25" s="4" t="e">
        <v>#N/A</v>
      </c>
      <c r="I25" s="5" t="e">
        <v>#N/A</v>
      </c>
      <c r="J25" s="6" t="e">
        <v>#N/A</v>
      </c>
    </row>
    <row r="26" spans="1:12" x14ac:dyDescent="0.25">
      <c r="A26" s="5">
        <v>51319</v>
      </c>
      <c r="B26" s="6" t="str">
        <v>0.526626177714272</v>
      </c>
      <c r="C26" s="3" t="e">
        <v>#N/A</v>
      </c>
      <c r="D26" s="4" t="e">
        <v>#N/A</v>
      </c>
      <c r="E26" s="5">
        <v>45475</v>
      </c>
      <c r="F26" s="6" t="str">
        <v>0.81195905685067</v>
      </c>
      <c r="G26" s="3" t="e">
        <v>#N/A</v>
      </c>
      <c r="H26" s="4" t="e">
        <v>#N/A</v>
      </c>
      <c r="I26" s="5" t="e">
        <v>#N/A</v>
      </c>
      <c r="J26" s="6" t="e">
        <v>#N/A</v>
      </c>
    </row>
    <row r="27" spans="1:12" x14ac:dyDescent="0.25">
      <c r="A27" s="5">
        <v>53146</v>
      </c>
      <c r="B27" s="6" t="str">
        <v>0.460824555152025</v>
      </c>
      <c r="C27" s="3" t="e">
        <v>#N/A</v>
      </c>
      <c r="D27" s="4" t="e">
        <v>#N/A</v>
      </c>
      <c r="E27" s="5">
        <v>45840</v>
      </c>
      <c r="F27" s="6" t="str">
        <v>0.787160472477406</v>
      </c>
      <c r="G27" s="3" t="e">
        <v>#N/A</v>
      </c>
      <c r="H27" s="4" t="e">
        <v>#N/A</v>
      </c>
      <c r="I27" s="5" t="e">
        <v>#N/A</v>
      </c>
      <c r="J27" s="6" t="e">
        <v>#N/A</v>
      </c>
    </row>
    <row r="28" spans="1:12" x14ac:dyDescent="0.25">
      <c r="A28" s="5">
        <v>56797</v>
      </c>
      <c r="B28" s="6" t="str">
        <v>0.35319368758543</v>
      </c>
      <c r="C28" s="3" t="e">
        <v>#N/A</v>
      </c>
      <c r="D28" s="4" t="e">
        <v>#N/A</v>
      </c>
      <c r="E28" s="5">
        <v>46205</v>
      </c>
      <c r="F28" s="6" t="str">
        <v>0.762847262041004</v>
      </c>
      <c r="G28" s="3" t="e">
        <v>#N/A</v>
      </c>
      <c r="H28" s="4" t="e">
        <v>#N/A</v>
      </c>
      <c r="I28" s="5" t="e">
        <v>#N/A</v>
      </c>
      <c r="J28" s="6" t="e">
        <v>#N/A</v>
      </c>
    </row>
    <row r="29" spans="1:12" x14ac:dyDescent="0.25">
      <c r="A29" s="5" t="e">
        <v>#N/A</v>
      </c>
      <c r="B29" s="6" t="e">
        <v>#N/A</v>
      </c>
      <c r="C29" s="3" t="e">
        <v>#N/A</v>
      </c>
      <c r="D29" s="4" t="e">
        <v>#N/A</v>
      </c>
      <c r="E29" s="5">
        <v>46570</v>
      </c>
      <c r="F29" s="6" t="str">
        <v>0.739431605691652</v>
      </c>
      <c r="G29" s="3" t="e">
        <v>#N/A</v>
      </c>
      <c r="H29" s="4" t="e">
        <v>#N/A</v>
      </c>
      <c r="I29" s="5" t="e">
        <v>#N/A</v>
      </c>
      <c r="J29" s="6" t="e">
        <v>#N/A</v>
      </c>
    </row>
    <row r="30" spans="1:12" x14ac:dyDescent="0.25">
      <c r="A30" s="5" t="e">
        <v>#N/A</v>
      </c>
      <c r="B30" s="6" t="e">
        <v>#N/A</v>
      </c>
      <c r="C30" s="3" t="e">
        <v>#N/A</v>
      </c>
      <c r="D30" s="4" t="e">
        <v>#N/A</v>
      </c>
      <c r="E30" s="5">
        <v>47666</v>
      </c>
      <c r="F30" s="6" t="str">
        <v>0.673571385852431</v>
      </c>
      <c r="G30" s="3" t="e">
        <v>#N/A</v>
      </c>
      <c r="H30" s="4" t="e">
        <v>#N/A</v>
      </c>
      <c r="I30" s="5" t="e">
        <v>#N/A</v>
      </c>
      <c r="J30" s="6" t="e">
        <v>#N/A</v>
      </c>
    </row>
    <row r="31" spans="1:12" x14ac:dyDescent="0.25">
      <c r="A31" s="5" t="e">
        <v>#N/A</v>
      </c>
      <c r="B31" s="6" t="e">
        <v>#N/A</v>
      </c>
      <c r="C31" s="3" t="e">
        <v>#N/A</v>
      </c>
      <c r="D31" s="4" t="e">
        <v>#N/A</v>
      </c>
      <c r="E31" s="5">
        <v>49492</v>
      </c>
      <c r="F31" s="6" t="str">
        <v>0.577907147173214</v>
      </c>
      <c r="G31" s="3" t="e">
        <v>#N/A</v>
      </c>
      <c r="H31" s="4" t="e">
        <v>#N/A</v>
      </c>
      <c r="I31" s="5" t="e">
        <v>#N/A</v>
      </c>
      <c r="J31" s="6" t="e">
        <v>#N/A</v>
      </c>
    </row>
    <row r="32" spans="1:12" x14ac:dyDescent="0.25">
      <c r="A32" s="5" t="e">
        <v>#N/A</v>
      </c>
      <c r="B32" s="6" t="e">
        <v>#N/A</v>
      </c>
      <c r="C32" s="3" t="e">
        <v>#N/A</v>
      </c>
      <c r="D32" s="4" t="e">
        <v>#N/A</v>
      </c>
      <c r="E32" s="5">
        <v>51319</v>
      </c>
      <c r="F32" s="6" t="str">
        <v>0.49814107431225</v>
      </c>
      <c r="G32" s="3" t="e">
        <v>#N/A</v>
      </c>
      <c r="H32" s="4" t="e">
        <v>#N/A</v>
      </c>
      <c r="I32" s="5" t="e">
        <v>#N/A</v>
      </c>
      <c r="J32" s="6" t="e">
        <v>#N/A</v>
      </c>
    </row>
    <row r="33" spans="1:10" x14ac:dyDescent="0.25">
      <c r="A33" s="5" t="e">
        <v>#N/A</v>
      </c>
      <c r="B33" s="6" t="e">
        <v>#N/A</v>
      </c>
      <c r="C33" s="3" t="e">
        <v>#N/A</v>
      </c>
      <c r="D33" s="4" t="e">
        <v>#N/A</v>
      </c>
      <c r="E33" s="5">
        <v>53146</v>
      </c>
      <c r="F33" s="6" t="str">
        <v>0.430523784206247</v>
      </c>
      <c r="G33" s="3" t="e">
        <v>#N/A</v>
      </c>
      <c r="H33" s="4" t="e">
        <v>#N/A</v>
      </c>
      <c r="I33" s="5" t="e">
        <v>#N/A</v>
      </c>
      <c r="J33" s="6" t="e">
        <v>#N/A</v>
      </c>
    </row>
    <row r="34" spans="1:10" x14ac:dyDescent="0.25">
      <c r="A34" s="5" t="e">
        <v>#N/A</v>
      </c>
      <c r="B34" s="6" t="e">
        <v>#N/A</v>
      </c>
      <c r="C34" s="3" t="e">
        <v>#N/A</v>
      </c>
      <c r="D34" s="4" t="e">
        <v>#N/A</v>
      </c>
      <c r="E34" s="5">
        <v>56797</v>
      </c>
      <c r="F34" s="6" t="str">
        <v>0.323633495829739</v>
      </c>
      <c r="G34" s="3" t="e">
        <v>#N/A</v>
      </c>
      <c r="H34" s="4" t="e">
        <v>#N/A</v>
      </c>
      <c r="I34" s="5" t="e">
        <v>#N/A</v>
      </c>
      <c r="J34" s="6" t="e">
        <v>#N/A</v>
      </c>
    </row>
    <row r="35" spans="1:10" x14ac:dyDescent="0.25">
      <c r="A35" s="5" t="e">
        <v>#N/A</v>
      </c>
      <c r="B35" s="6" t="e">
        <v>#N/A</v>
      </c>
      <c r="C35" s="3" t="e">
        <v>#N/A</v>
      </c>
      <c r="D35" s="4" t="e">
        <v>#N/A</v>
      </c>
      <c r="E35" s="5" t="e">
        <v>#N/A</v>
      </c>
      <c r="F35" s="6" t="e">
        <v>#N/A</v>
      </c>
      <c r="G35" s="3" t="e">
        <v>#N/A</v>
      </c>
      <c r="H35" s="4" t="e">
        <v>#N/A</v>
      </c>
      <c r="I35" s="5" t="e">
        <v>#N/A</v>
      </c>
      <c r="J35" s="6" t="e">
        <v>#N/A</v>
      </c>
    </row>
    <row r="36" spans="1:10" x14ac:dyDescent="0.25">
      <c r="A36" s="5" t="e">
        <v>#N/A</v>
      </c>
      <c r="B36" s="6" t="e">
        <v>#N/A</v>
      </c>
      <c r="C36" s="3" t="e">
        <v>#N/A</v>
      </c>
      <c r="D36" s="4" t="e">
        <v>#N/A</v>
      </c>
      <c r="E36" s="5" t="e">
        <v>#N/A</v>
      </c>
      <c r="F36" s="6" t="e">
        <v>#N/A</v>
      </c>
      <c r="G36" s="3" t="e">
        <v>#N/A</v>
      </c>
      <c r="H36" s="4" t="e">
        <v>#N/A</v>
      </c>
      <c r="I36" s="5" t="e">
        <v>#N/A</v>
      </c>
      <c r="J36" s="6" t="e">
        <v>#N/A</v>
      </c>
    </row>
    <row r="37" spans="1:10" x14ac:dyDescent="0.25">
      <c r="A37" s="5" t="e">
        <v>#N/A</v>
      </c>
      <c r="B37" s="6" t="e">
        <v>#N/A</v>
      </c>
      <c r="C37" s="3" t="e">
        <v>#N/A</v>
      </c>
      <c r="D37" s="4" t="e">
        <v>#N/A</v>
      </c>
      <c r="E37" s="5" t="e">
        <v>#N/A</v>
      </c>
      <c r="F37" s="6" t="e">
        <v>#N/A</v>
      </c>
      <c r="G37" s="3" t="e">
        <v>#N/A</v>
      </c>
      <c r="H37" s="4" t="e">
        <v>#N/A</v>
      </c>
      <c r="I37" s="5" t="e">
        <v>#N/A</v>
      </c>
      <c r="J37" s="6" t="e">
        <v>#N/A</v>
      </c>
    </row>
    <row r="38" spans="1:10" x14ac:dyDescent="0.25">
      <c r="A38" s="5" t="e">
        <v>#N/A</v>
      </c>
      <c r="B38" s="6" t="e">
        <v>#N/A</v>
      </c>
      <c r="C38" s="3" t="e">
        <v>#N/A</v>
      </c>
      <c r="D38" s="4" t="e">
        <v>#N/A</v>
      </c>
      <c r="E38" s="5" t="e">
        <v>#N/A</v>
      </c>
      <c r="F38" s="6" t="e">
        <v>#N/A</v>
      </c>
      <c r="G38" s="3" t="e">
        <v>#N/A</v>
      </c>
      <c r="H38" s="4" t="e">
        <v>#N/A</v>
      </c>
      <c r="I38" s="5" t="e">
        <v>#N/A</v>
      </c>
      <c r="J38" s="6" t="e">
        <v>#N/A</v>
      </c>
    </row>
    <row r="39" spans="1:10" x14ac:dyDescent="0.25">
      <c r="A39" s="5" t="e">
        <v>#N/A</v>
      </c>
      <c r="B39" s="6" t="e">
        <v>#N/A</v>
      </c>
      <c r="C39" s="3" t="e">
        <v>#N/A</v>
      </c>
      <c r="D39" s="4" t="e">
        <v>#N/A</v>
      </c>
      <c r="E39" s="5" t="e">
        <v>#N/A</v>
      </c>
      <c r="F39" s="6" t="e">
        <v>#N/A</v>
      </c>
      <c r="G39" s="3" t="e">
        <v>#N/A</v>
      </c>
      <c r="H39" s="4" t="e">
        <v>#N/A</v>
      </c>
      <c r="I39" s="5" t="e">
        <v>#N/A</v>
      </c>
      <c r="J39" s="6" t="e">
        <v>#N/A</v>
      </c>
    </row>
    <row r="40" spans="1:10" x14ac:dyDescent="0.25">
      <c r="A40" s="5" t="e">
        <v>#N/A</v>
      </c>
      <c r="B40" s="6" t="e">
        <v>#N/A</v>
      </c>
      <c r="C40" s="3" t="e">
        <v>#N/A</v>
      </c>
      <c r="D40" s="4" t="e">
        <v>#N/A</v>
      </c>
      <c r="E40" s="5" t="e">
        <v>#N/A</v>
      </c>
      <c r="F40" s="6" t="e">
        <v>#N/A</v>
      </c>
      <c r="G40" s="3" t="e">
        <v>#N/A</v>
      </c>
      <c r="H40" s="4" t="e">
        <v>#N/A</v>
      </c>
      <c r="I40" s="5" t="e">
        <v>#N/A</v>
      </c>
      <c r="J40" s="6" t="e">
        <v>#N/A</v>
      </c>
    </row>
    <row r="41" spans="1:10" x14ac:dyDescent="0.25">
      <c r="A41" s="5" t="e">
        <v>#N/A</v>
      </c>
      <c r="B41" s="6" t="e">
        <v>#N/A</v>
      </c>
      <c r="C41" s="3" t="e">
        <v>#N/A</v>
      </c>
      <c r="D41" s="4" t="e">
        <v>#N/A</v>
      </c>
      <c r="E41" s="5" t="e">
        <v>#N/A</v>
      </c>
      <c r="F41" s="6" t="e">
        <v>#N/A</v>
      </c>
      <c r="G41" s="3" t="e">
        <v>#N/A</v>
      </c>
      <c r="H41" s="4" t="e">
        <v>#N/A</v>
      </c>
      <c r="I41" s="5" t="e">
        <v>#N/A</v>
      </c>
      <c r="J41" s="6" t="e">
        <v>#N/A</v>
      </c>
    </row>
    <row r="42" spans="1:10" x14ac:dyDescent="0.25">
      <c r="A42" s="5" t="e">
        <v>#N/A</v>
      </c>
      <c r="B42" s="6" t="e">
        <v>#N/A</v>
      </c>
      <c r="C42" s="3" t="e">
        <v>#N/A</v>
      </c>
      <c r="D42" s="4" t="e">
        <v>#N/A</v>
      </c>
      <c r="E42" s="5" t="e">
        <v>#N/A</v>
      </c>
      <c r="F42" s="6" t="e">
        <v>#N/A</v>
      </c>
      <c r="G42" s="3" t="e">
        <v>#N/A</v>
      </c>
      <c r="H42" s="4" t="e">
        <v>#N/A</v>
      </c>
      <c r="I42" s="5" t="e">
        <v>#N/A</v>
      </c>
      <c r="J42" s="6" t="e">
        <v>#N/A</v>
      </c>
    </row>
    <row r="43" spans="1:10" x14ac:dyDescent="0.25">
      <c r="A43" s="5" t="e">
        <v>#N/A</v>
      </c>
      <c r="B43" s="6" t="e">
        <v>#N/A</v>
      </c>
      <c r="C43" s="3" t="e">
        <v>#N/A</v>
      </c>
      <c r="D43" s="4" t="e">
        <v>#N/A</v>
      </c>
      <c r="E43" s="5" t="e">
        <v>#N/A</v>
      </c>
      <c r="F43" s="6" t="e">
        <v>#N/A</v>
      </c>
      <c r="G43" s="3" t="e">
        <v>#N/A</v>
      </c>
      <c r="H43" s="4" t="e">
        <v>#N/A</v>
      </c>
      <c r="I43" s="5" t="e">
        <v>#N/A</v>
      </c>
      <c r="J43" s="6" t="e">
        <v>#N/A</v>
      </c>
    </row>
    <row r="44" spans="1:10" x14ac:dyDescent="0.25">
      <c r="A44" s="5" t="e">
        <v>#N/A</v>
      </c>
      <c r="B44" s="6" t="e">
        <v>#N/A</v>
      </c>
      <c r="C44" s="3" t="e">
        <v>#N/A</v>
      </c>
      <c r="D44" s="4" t="e">
        <v>#N/A</v>
      </c>
      <c r="E44" s="5" t="e">
        <v>#N/A</v>
      </c>
      <c r="F44" s="6" t="e">
        <v>#N/A</v>
      </c>
      <c r="G44" s="3" t="e">
        <v>#N/A</v>
      </c>
      <c r="H44" s="4" t="e">
        <v>#N/A</v>
      </c>
      <c r="I44" s="5" t="e">
        <v>#N/A</v>
      </c>
      <c r="J44" s="6" t="e">
        <v>#N/A</v>
      </c>
    </row>
    <row r="45" spans="1:10" x14ac:dyDescent="0.25">
      <c r="A45" s="5" t="e">
        <v>#N/A</v>
      </c>
      <c r="B45" s="6" t="e">
        <v>#N/A</v>
      </c>
      <c r="C45" s="3" t="e">
        <v>#N/A</v>
      </c>
      <c r="D45" s="4" t="e">
        <v>#N/A</v>
      </c>
      <c r="E45" s="5" t="e">
        <v>#N/A</v>
      </c>
      <c r="F45" s="6" t="e">
        <v>#N/A</v>
      </c>
      <c r="G45" s="3" t="e">
        <v>#N/A</v>
      </c>
      <c r="H45" s="4" t="e">
        <v>#N/A</v>
      </c>
      <c r="I45" s="5" t="e">
        <v>#N/A</v>
      </c>
      <c r="J45" s="6" t="e">
        <v>#N/A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urves">
                <anchor moveWithCells="1" sizeWithCells="1">
                  <from>
                    <xdr:col>10</xdr:col>
                    <xdr:colOff>552450</xdr:colOff>
                    <xdr:row>1</xdr:row>
                    <xdr:rowOff>180975</xdr:rowOff>
                  </from>
                  <to>
                    <xdr:col>13</xdr:col>
                    <xdr:colOff>304800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older_IRCurve">
                <anchor moveWithCells="1" sizeWithCells="1">
                  <from>
                    <xdr:col>10</xdr:col>
                    <xdr:colOff>581025</xdr:colOff>
                    <xdr:row>7</xdr:row>
                    <xdr:rowOff>114300</xdr:rowOff>
                  </from>
                  <to>
                    <xdr:col>13</xdr:col>
                    <xdr:colOff>333375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4"/>
  <sheetViews>
    <sheetView workbookViewId="0">
      <selection activeCell="L1" sqref="L1"/>
    </sheetView>
  </sheetViews>
  <sheetFormatPr defaultRowHeight="15" x14ac:dyDescent="0.25"/>
  <cols>
    <col min="1" max="1" width="10.7109375" bestFit="1" customWidth="1"/>
    <col min="2" max="2" width="17.85546875" bestFit="1" customWidth="1"/>
    <col min="3" max="3" width="10.7109375" bestFit="1" customWidth="1"/>
    <col min="4" max="4" width="17.85546875" bestFit="1" customWidth="1"/>
    <col min="5" max="5" width="10.7109375" bestFit="1" customWidth="1"/>
    <col min="6" max="6" width="17.85546875" bestFit="1" customWidth="1"/>
    <col min="7" max="7" width="10.140625" bestFit="1" customWidth="1"/>
    <col min="8" max="8" width="17.85546875" bestFit="1" customWidth="1"/>
    <col min="9" max="9" width="11.140625" bestFit="1" customWidth="1"/>
    <col min="10" max="10" width="17.85546875" bestFit="1" customWidth="1"/>
    <col min="12" max="12" width="9.7109375" bestFit="1" customWidth="1"/>
  </cols>
  <sheetData>
    <row r="1" spans="1:12" x14ac:dyDescent="0.25">
      <c r="A1" s="1" t="s">
        <v>1</v>
      </c>
      <c r="B1" s="1"/>
      <c r="C1" s="1" t="s">
        <v>3</v>
      </c>
      <c r="D1" s="1"/>
      <c r="E1" s="1" t="s">
        <v>2</v>
      </c>
      <c r="F1" s="1"/>
      <c r="G1" s="1" t="s">
        <v>4</v>
      </c>
      <c r="H1" s="1"/>
      <c r="I1" s="1" t="s">
        <v>5</v>
      </c>
      <c r="J1" s="1"/>
      <c r="L1" s="8">
        <f>_xll.qlIndexesLoadFixingFromFile()</f>
        <v>42409</v>
      </c>
    </row>
    <row r="2" spans="1:12" x14ac:dyDescent="0.25">
      <c r="A2" s="5">
        <f t="array" ref="A2:B44">_xll.qlIndexeGetHistory(A1)</f>
        <v>42185</v>
      </c>
      <c r="B2" s="6">
        <v>8.0000000000000004E-4</v>
      </c>
      <c r="C2" s="3">
        <f t="array" ref="C2:D44">_xll.qlIndexeGetHistory(C1)</f>
        <v>41520</v>
      </c>
      <c r="D2" s="4">
        <v>2.0326950000000002E-3</v>
      </c>
      <c r="E2" s="5">
        <f t="array" ref="E2:F44">_xll.qlIndexeGetHistory(E1)</f>
        <v>41520</v>
      </c>
      <c r="F2" s="6">
        <v>2.8319999999999999E-3</v>
      </c>
      <c r="G2" s="3">
        <f t="array" ref="G2:H44">_xll.qlIndexeGetHistory(G1)</f>
        <v>42185</v>
      </c>
      <c r="H2" s="4">
        <v>6.0553439999999998E-3</v>
      </c>
      <c r="I2" s="5">
        <f t="array" ref="I2:J44">_xll.qlIndexeGetHistory(I1)</f>
        <v>42185</v>
      </c>
      <c r="J2" s="6">
        <v>7.8427689999999994E-3</v>
      </c>
    </row>
    <row r="3" spans="1:12" x14ac:dyDescent="0.25">
      <c r="A3" s="5">
        <v>42209</v>
      </c>
      <c r="B3" s="6">
        <v>1.2999999999999999E-3</v>
      </c>
      <c r="C3" s="3">
        <v>41521</v>
      </c>
      <c r="D3" s="4">
        <v>2.0326950000000002E-3</v>
      </c>
      <c r="E3" s="5">
        <v>41521</v>
      </c>
      <c r="F3" s="6">
        <v>2.8319999999999999E-3</v>
      </c>
      <c r="G3" s="3">
        <v>42209</v>
      </c>
      <c r="H3" s="4">
        <v>3.8409889999999999E-3</v>
      </c>
      <c r="I3" s="5">
        <v>42209</v>
      </c>
      <c r="J3" s="6">
        <v>5.6375879999999998E-3</v>
      </c>
    </row>
    <row r="4" spans="1:12" x14ac:dyDescent="0.25">
      <c r="A4" s="5">
        <v>42213</v>
      </c>
      <c r="B4" s="6">
        <v>1.4E-3</v>
      </c>
      <c r="C4" s="3">
        <v>41522</v>
      </c>
      <c r="D4" s="4">
        <v>2.0326950000000002E-3</v>
      </c>
      <c r="E4" s="5">
        <v>41522</v>
      </c>
      <c r="F4" s="6">
        <v>2.8319999999999999E-3</v>
      </c>
      <c r="G4" s="3">
        <v>42213</v>
      </c>
      <c r="H4" s="4">
        <v>3.8425489999999998E-3</v>
      </c>
      <c r="I4" s="5">
        <v>42213</v>
      </c>
      <c r="J4" s="6">
        <v>5.6080699999999997E-3</v>
      </c>
    </row>
    <row r="5" spans="1:12" x14ac:dyDescent="0.25">
      <c r="A5" s="5">
        <v>42214</v>
      </c>
      <c r="B5" s="6">
        <v>1.4E-3</v>
      </c>
      <c r="C5" s="3">
        <v>41523</v>
      </c>
      <c r="D5" s="4">
        <v>2.0326950000000002E-3</v>
      </c>
      <c r="E5" s="5">
        <v>41523</v>
      </c>
      <c r="F5" s="6">
        <v>2.8319999999999999E-3</v>
      </c>
      <c r="G5" s="3">
        <v>42214</v>
      </c>
      <c r="H5" s="4">
        <v>6.5965219999999996E-3</v>
      </c>
      <c r="I5" s="5">
        <v>42214</v>
      </c>
      <c r="J5" s="6">
        <v>8.3735930000000004E-3</v>
      </c>
    </row>
    <row r="6" spans="1:12" x14ac:dyDescent="0.25">
      <c r="A6" s="5">
        <v>42221</v>
      </c>
      <c r="B6" s="6">
        <v>1.4E-3</v>
      </c>
      <c r="C6" s="3">
        <v>41524</v>
      </c>
      <c r="D6" s="4">
        <v>2.0326950000000002E-3</v>
      </c>
      <c r="E6" s="5">
        <v>41524</v>
      </c>
      <c r="F6" s="6">
        <v>2.8319999999999999E-3</v>
      </c>
      <c r="G6" s="3">
        <v>42221</v>
      </c>
      <c r="H6" s="4">
        <v>7.0355909999999999E-3</v>
      </c>
      <c r="I6" s="5">
        <v>42221</v>
      </c>
      <c r="J6" s="6">
        <v>8.6396500000000005E-3</v>
      </c>
    </row>
    <row r="7" spans="1:12" x14ac:dyDescent="0.25">
      <c r="A7" s="5" t="e">
        <v>#N/A</v>
      </c>
      <c r="B7" s="6" t="e">
        <v>#N/A</v>
      </c>
      <c r="C7" s="3">
        <v>41525</v>
      </c>
      <c r="D7" s="4">
        <v>2.0326950000000002E-3</v>
      </c>
      <c r="E7" s="5">
        <v>41525</v>
      </c>
      <c r="F7" s="6">
        <v>2.8319999999999999E-3</v>
      </c>
      <c r="G7" s="3" t="e">
        <v>#N/A</v>
      </c>
      <c r="H7" s="4" t="e">
        <v>#N/A</v>
      </c>
      <c r="I7" s="5" t="e">
        <v>#N/A</v>
      </c>
      <c r="J7" s="6" t="e">
        <v>#N/A</v>
      </c>
    </row>
    <row r="8" spans="1:12" x14ac:dyDescent="0.25">
      <c r="A8" s="5" t="e">
        <v>#N/A</v>
      </c>
      <c r="B8" s="6" t="e">
        <v>#N/A</v>
      </c>
      <c r="C8" s="3">
        <v>41526</v>
      </c>
      <c r="D8" s="4">
        <v>2.0326950000000002E-3</v>
      </c>
      <c r="E8" s="5">
        <v>41526</v>
      </c>
      <c r="F8" s="6">
        <v>2.8319999999999999E-3</v>
      </c>
      <c r="G8" s="3" t="e">
        <v>#N/A</v>
      </c>
      <c r="H8" s="4" t="e">
        <v>#N/A</v>
      </c>
      <c r="I8" s="5" t="e">
        <v>#N/A</v>
      </c>
      <c r="J8" s="6" t="e">
        <v>#N/A</v>
      </c>
    </row>
    <row r="9" spans="1:12" x14ac:dyDescent="0.25">
      <c r="A9" s="5" t="e">
        <v>#N/A</v>
      </c>
      <c r="B9" s="6" t="e">
        <v>#N/A</v>
      </c>
      <c r="C9" s="3">
        <v>41527</v>
      </c>
      <c r="D9" s="4">
        <v>2.0326950000000002E-3</v>
      </c>
      <c r="E9" s="5">
        <v>41527</v>
      </c>
      <c r="F9" s="6">
        <v>2.8319999999999999E-3</v>
      </c>
      <c r="G9" s="3" t="e">
        <v>#N/A</v>
      </c>
      <c r="H9" s="4" t="e">
        <v>#N/A</v>
      </c>
      <c r="I9" s="5" t="e">
        <v>#N/A</v>
      </c>
      <c r="J9" s="6" t="e">
        <v>#N/A</v>
      </c>
    </row>
    <row r="10" spans="1:12" x14ac:dyDescent="0.25">
      <c r="A10" s="5" t="e">
        <v>#N/A</v>
      </c>
      <c r="B10" s="6" t="e">
        <v>#N/A</v>
      </c>
      <c r="C10" s="3">
        <v>41528</v>
      </c>
      <c r="D10" s="4">
        <v>2.0326950000000002E-3</v>
      </c>
      <c r="E10" s="5">
        <v>41528</v>
      </c>
      <c r="F10" s="6">
        <v>2.8319999999999999E-3</v>
      </c>
      <c r="G10" s="3" t="e">
        <v>#N/A</v>
      </c>
      <c r="H10" s="4" t="e">
        <v>#N/A</v>
      </c>
      <c r="I10" s="5" t="e">
        <v>#N/A</v>
      </c>
      <c r="J10" s="6" t="e">
        <v>#N/A</v>
      </c>
    </row>
    <row r="11" spans="1:12" x14ac:dyDescent="0.25">
      <c r="A11" s="5" t="e">
        <v>#N/A</v>
      </c>
      <c r="B11" s="6" t="e">
        <v>#N/A</v>
      </c>
      <c r="C11" s="3">
        <v>41529</v>
      </c>
      <c r="D11" s="4">
        <v>2.0326950000000002E-3</v>
      </c>
      <c r="E11" s="5">
        <v>41529</v>
      </c>
      <c r="F11" s="6">
        <v>2.8319999999999999E-3</v>
      </c>
      <c r="G11" s="3" t="e">
        <v>#N/A</v>
      </c>
      <c r="H11" s="4" t="e">
        <v>#N/A</v>
      </c>
      <c r="I11" s="5" t="e">
        <v>#N/A</v>
      </c>
      <c r="J11" s="6" t="e">
        <v>#N/A</v>
      </c>
    </row>
    <row r="12" spans="1:12" x14ac:dyDescent="0.25">
      <c r="A12" s="5" t="e">
        <v>#N/A</v>
      </c>
      <c r="B12" s="6" t="e">
        <v>#N/A</v>
      </c>
      <c r="C12" s="3">
        <v>41530</v>
      </c>
      <c r="D12" s="4">
        <v>2.0326950000000002E-3</v>
      </c>
      <c r="E12" s="5">
        <v>41530</v>
      </c>
      <c r="F12" s="6">
        <v>2.8319999999999999E-3</v>
      </c>
      <c r="G12" s="3" t="e">
        <v>#N/A</v>
      </c>
      <c r="H12" s="4" t="e">
        <v>#N/A</v>
      </c>
      <c r="I12" s="5" t="e">
        <v>#N/A</v>
      </c>
      <c r="J12" s="6" t="e">
        <v>#N/A</v>
      </c>
    </row>
    <row r="13" spans="1:12" x14ac:dyDescent="0.25">
      <c r="A13" s="5" t="e">
        <v>#N/A</v>
      </c>
      <c r="B13" s="6" t="e">
        <v>#N/A</v>
      </c>
      <c r="C13" s="3">
        <v>41531</v>
      </c>
      <c r="D13" s="4">
        <v>2.0326950000000002E-3</v>
      </c>
      <c r="E13" s="5">
        <v>41531</v>
      </c>
      <c r="F13" s="6">
        <v>2.8319999999999999E-3</v>
      </c>
      <c r="G13" s="3" t="e">
        <v>#N/A</v>
      </c>
      <c r="H13" s="4" t="e">
        <v>#N/A</v>
      </c>
      <c r="I13" s="5" t="e">
        <v>#N/A</v>
      </c>
      <c r="J13" s="6" t="e">
        <v>#N/A</v>
      </c>
    </row>
    <row r="14" spans="1:12" x14ac:dyDescent="0.25">
      <c r="A14" s="5" t="e">
        <v>#N/A</v>
      </c>
      <c r="B14" s="6" t="e">
        <v>#N/A</v>
      </c>
      <c r="C14" s="3">
        <v>41532</v>
      </c>
      <c r="D14" s="4">
        <v>2.0326950000000002E-3</v>
      </c>
      <c r="E14" s="5">
        <v>41532</v>
      </c>
      <c r="F14" s="6">
        <v>2.8319999999999999E-3</v>
      </c>
      <c r="G14" s="3" t="e">
        <v>#N/A</v>
      </c>
      <c r="H14" s="4" t="e">
        <v>#N/A</v>
      </c>
      <c r="I14" s="5" t="e">
        <v>#N/A</v>
      </c>
      <c r="J14" s="6" t="e">
        <v>#N/A</v>
      </c>
    </row>
    <row r="15" spans="1:12" x14ac:dyDescent="0.25">
      <c r="A15" s="5" t="e">
        <v>#N/A</v>
      </c>
      <c r="B15" s="6" t="e">
        <v>#N/A</v>
      </c>
      <c r="C15" s="3">
        <v>41533</v>
      </c>
      <c r="D15" s="4">
        <v>2.0326950000000002E-3</v>
      </c>
      <c r="E15" s="5">
        <v>41533</v>
      </c>
      <c r="F15" s="6">
        <v>2.8319999999999999E-3</v>
      </c>
      <c r="G15" s="3" t="e">
        <v>#N/A</v>
      </c>
      <c r="H15" s="4" t="e">
        <v>#N/A</v>
      </c>
      <c r="I15" s="5" t="e">
        <v>#N/A</v>
      </c>
      <c r="J15" s="6" t="e">
        <v>#N/A</v>
      </c>
    </row>
    <row r="16" spans="1:12" x14ac:dyDescent="0.25">
      <c r="A16" s="5" t="e">
        <v>#N/A</v>
      </c>
      <c r="B16" s="6" t="e">
        <v>#N/A</v>
      </c>
      <c r="C16" s="3">
        <v>41534</v>
      </c>
      <c r="D16" s="4">
        <v>2.0326950000000002E-3</v>
      </c>
      <c r="E16" s="5">
        <v>41534</v>
      </c>
      <c r="F16" s="6">
        <v>2.8319999999999999E-3</v>
      </c>
      <c r="G16" s="3" t="e">
        <v>#N/A</v>
      </c>
      <c r="H16" s="4" t="e">
        <v>#N/A</v>
      </c>
      <c r="I16" s="5" t="e">
        <v>#N/A</v>
      </c>
      <c r="J16" s="6" t="e">
        <v>#N/A</v>
      </c>
    </row>
    <row r="17" spans="1:10" x14ac:dyDescent="0.25">
      <c r="A17" s="5" t="e">
        <v>#N/A</v>
      </c>
      <c r="B17" s="6" t="e">
        <v>#N/A</v>
      </c>
      <c r="C17" s="3">
        <v>41535</v>
      </c>
      <c r="D17" s="4">
        <v>2.0326950000000002E-3</v>
      </c>
      <c r="E17" s="5">
        <v>41535</v>
      </c>
      <c r="F17" s="6">
        <v>2.8319999999999999E-3</v>
      </c>
      <c r="G17" s="3" t="e">
        <v>#N/A</v>
      </c>
      <c r="H17" s="4" t="e">
        <v>#N/A</v>
      </c>
      <c r="I17" s="5" t="e">
        <v>#N/A</v>
      </c>
      <c r="J17" s="6" t="e">
        <v>#N/A</v>
      </c>
    </row>
    <row r="18" spans="1:10" x14ac:dyDescent="0.25">
      <c r="A18" s="5" t="e">
        <v>#N/A</v>
      </c>
      <c r="B18" s="6" t="e">
        <v>#N/A</v>
      </c>
      <c r="C18" s="3">
        <v>41536</v>
      </c>
      <c r="D18" s="4">
        <v>2.0326950000000002E-3</v>
      </c>
      <c r="E18" s="5">
        <v>41536</v>
      </c>
      <c r="F18" s="6">
        <v>2.8319999999999999E-3</v>
      </c>
      <c r="G18" s="3" t="e">
        <v>#N/A</v>
      </c>
      <c r="H18" s="4" t="e">
        <v>#N/A</v>
      </c>
      <c r="I18" s="5" t="e">
        <v>#N/A</v>
      </c>
      <c r="J18" s="6" t="e">
        <v>#N/A</v>
      </c>
    </row>
    <row r="19" spans="1:10" x14ac:dyDescent="0.25">
      <c r="A19" s="5" t="e">
        <v>#N/A</v>
      </c>
      <c r="B19" s="6" t="e">
        <v>#N/A</v>
      </c>
      <c r="C19" s="3">
        <v>41537</v>
      </c>
      <c r="D19" s="4">
        <v>2.0326950000000002E-3</v>
      </c>
      <c r="E19" s="5">
        <v>41537</v>
      </c>
      <c r="F19" s="6">
        <v>2.8319999999999999E-3</v>
      </c>
      <c r="G19" s="3" t="e">
        <v>#N/A</v>
      </c>
      <c r="H19" s="4" t="e">
        <v>#N/A</v>
      </c>
      <c r="I19" s="5" t="e">
        <v>#N/A</v>
      </c>
      <c r="J19" s="6" t="e">
        <v>#N/A</v>
      </c>
    </row>
    <row r="20" spans="1:10" x14ac:dyDescent="0.25">
      <c r="A20" s="5" t="e">
        <v>#N/A</v>
      </c>
      <c r="B20" s="6" t="e">
        <v>#N/A</v>
      </c>
      <c r="C20" s="3">
        <v>41538</v>
      </c>
      <c r="D20" s="4">
        <v>2.0326950000000002E-3</v>
      </c>
      <c r="E20" s="5">
        <v>41538</v>
      </c>
      <c r="F20" s="6">
        <v>2.8319999999999999E-3</v>
      </c>
      <c r="G20" s="3" t="e">
        <v>#N/A</v>
      </c>
      <c r="H20" s="4" t="e">
        <v>#N/A</v>
      </c>
      <c r="I20" s="5" t="e">
        <v>#N/A</v>
      </c>
      <c r="J20" s="6" t="e">
        <v>#N/A</v>
      </c>
    </row>
    <row r="21" spans="1:10" x14ac:dyDescent="0.25">
      <c r="A21" s="5" t="e">
        <v>#N/A</v>
      </c>
      <c r="B21" s="6" t="e">
        <v>#N/A</v>
      </c>
      <c r="C21" s="3">
        <v>41539</v>
      </c>
      <c r="D21" s="4">
        <v>2.0326950000000002E-3</v>
      </c>
      <c r="E21" s="5">
        <v>41539</v>
      </c>
      <c r="F21" s="6">
        <v>2.8319999999999999E-3</v>
      </c>
      <c r="G21" s="3" t="e">
        <v>#N/A</v>
      </c>
      <c r="H21" s="4" t="e">
        <v>#N/A</v>
      </c>
      <c r="I21" s="5" t="e">
        <v>#N/A</v>
      </c>
      <c r="J21" s="6" t="e">
        <v>#N/A</v>
      </c>
    </row>
    <row r="22" spans="1:10" x14ac:dyDescent="0.25">
      <c r="A22" s="5" t="e">
        <v>#N/A</v>
      </c>
      <c r="B22" s="6" t="e">
        <v>#N/A</v>
      </c>
      <c r="C22" s="3">
        <v>41540</v>
      </c>
      <c r="D22" s="4">
        <v>2.0326950000000002E-3</v>
      </c>
      <c r="E22" s="5">
        <v>41540</v>
      </c>
      <c r="F22" s="6">
        <v>2.8319999999999999E-3</v>
      </c>
      <c r="G22" s="3" t="e">
        <v>#N/A</v>
      </c>
      <c r="H22" s="4" t="e">
        <v>#N/A</v>
      </c>
      <c r="I22" s="5" t="e">
        <v>#N/A</v>
      </c>
      <c r="J22" s="6" t="e">
        <v>#N/A</v>
      </c>
    </row>
    <row r="23" spans="1:10" x14ac:dyDescent="0.25">
      <c r="A23" s="5" t="e">
        <v>#N/A</v>
      </c>
      <c r="B23" s="6" t="e">
        <v>#N/A</v>
      </c>
      <c r="C23" s="3">
        <v>41541</v>
      </c>
      <c r="D23" s="4">
        <v>2.0326950000000002E-3</v>
      </c>
      <c r="E23" s="5">
        <v>41541</v>
      </c>
      <c r="F23" s="6">
        <v>2.8319999999999999E-3</v>
      </c>
      <c r="G23" s="3" t="e">
        <v>#N/A</v>
      </c>
      <c r="H23" s="4" t="e">
        <v>#N/A</v>
      </c>
      <c r="I23" s="5" t="e">
        <v>#N/A</v>
      </c>
      <c r="J23" s="6" t="e">
        <v>#N/A</v>
      </c>
    </row>
    <row r="24" spans="1:10" x14ac:dyDescent="0.25">
      <c r="A24" s="5" t="e">
        <v>#N/A</v>
      </c>
      <c r="B24" s="6" t="e">
        <v>#N/A</v>
      </c>
      <c r="C24" s="3">
        <v>41542</v>
      </c>
      <c r="D24" s="4">
        <v>2.0326950000000002E-3</v>
      </c>
      <c r="E24" s="5">
        <v>41542</v>
      </c>
      <c r="F24" s="6">
        <v>2.8319999999999999E-3</v>
      </c>
      <c r="G24" s="3" t="e">
        <v>#N/A</v>
      </c>
      <c r="H24" s="4" t="e">
        <v>#N/A</v>
      </c>
      <c r="I24" s="5" t="e">
        <v>#N/A</v>
      </c>
      <c r="J24" s="6" t="e">
        <v>#N/A</v>
      </c>
    </row>
    <row r="25" spans="1:10" x14ac:dyDescent="0.25">
      <c r="A25" s="5" t="e">
        <v>#N/A</v>
      </c>
      <c r="B25" s="6" t="e">
        <v>#N/A</v>
      </c>
      <c r="C25" s="3">
        <v>41543</v>
      </c>
      <c r="D25" s="4">
        <v>2.0326950000000002E-3</v>
      </c>
      <c r="E25" s="5">
        <v>41543</v>
      </c>
      <c r="F25" s="6">
        <v>2.8319999999999999E-3</v>
      </c>
      <c r="G25" s="3" t="e">
        <v>#N/A</v>
      </c>
      <c r="H25" s="4" t="e">
        <v>#N/A</v>
      </c>
      <c r="I25" s="5" t="e">
        <v>#N/A</v>
      </c>
      <c r="J25" s="6" t="e">
        <v>#N/A</v>
      </c>
    </row>
    <row r="26" spans="1:10" x14ac:dyDescent="0.25">
      <c r="A26" s="5" t="e">
        <v>#N/A</v>
      </c>
      <c r="B26" s="6" t="e">
        <v>#N/A</v>
      </c>
      <c r="C26" s="3">
        <v>41544</v>
      </c>
      <c r="D26" s="4">
        <v>2.0326950000000002E-3</v>
      </c>
      <c r="E26" s="5">
        <v>41544</v>
      </c>
      <c r="F26" s="6">
        <v>2.8319999999999999E-3</v>
      </c>
      <c r="G26" s="3" t="e">
        <v>#N/A</v>
      </c>
      <c r="H26" s="4" t="e">
        <v>#N/A</v>
      </c>
      <c r="I26" s="5" t="e">
        <v>#N/A</v>
      </c>
      <c r="J26" s="6" t="e">
        <v>#N/A</v>
      </c>
    </row>
    <row r="27" spans="1:10" x14ac:dyDescent="0.25">
      <c r="A27" s="5" t="e">
        <v>#N/A</v>
      </c>
      <c r="B27" s="6" t="e">
        <v>#N/A</v>
      </c>
      <c r="C27" s="3">
        <v>41545</v>
      </c>
      <c r="D27" s="4">
        <v>2.0326950000000002E-3</v>
      </c>
      <c r="E27" s="5">
        <v>41545</v>
      </c>
      <c r="F27" s="6">
        <v>2.8319999999999999E-3</v>
      </c>
      <c r="G27" s="3" t="e">
        <v>#N/A</v>
      </c>
      <c r="H27" s="4" t="e">
        <v>#N/A</v>
      </c>
      <c r="I27" s="5" t="e">
        <v>#N/A</v>
      </c>
      <c r="J27" s="6" t="e">
        <v>#N/A</v>
      </c>
    </row>
    <row r="28" spans="1:10" x14ac:dyDescent="0.25">
      <c r="A28" s="5" t="e">
        <v>#N/A</v>
      </c>
      <c r="B28" s="6" t="e">
        <v>#N/A</v>
      </c>
      <c r="C28" s="3">
        <v>41546</v>
      </c>
      <c r="D28" s="4">
        <v>2.0326950000000002E-3</v>
      </c>
      <c r="E28" s="5">
        <v>41546</v>
      </c>
      <c r="F28" s="6">
        <v>2.8319999999999999E-3</v>
      </c>
      <c r="G28" s="3" t="e">
        <v>#N/A</v>
      </c>
      <c r="H28" s="4" t="e">
        <v>#N/A</v>
      </c>
      <c r="I28" s="5" t="e">
        <v>#N/A</v>
      </c>
      <c r="J28" s="6" t="e">
        <v>#N/A</v>
      </c>
    </row>
    <row r="29" spans="1:10" x14ac:dyDescent="0.25">
      <c r="A29" s="5" t="e">
        <v>#N/A</v>
      </c>
      <c r="B29" s="6" t="e">
        <v>#N/A</v>
      </c>
      <c r="C29" s="3">
        <v>41547</v>
      </c>
      <c r="D29" s="4">
        <v>2.0326950000000002E-3</v>
      </c>
      <c r="E29" s="5">
        <v>41547</v>
      </c>
      <c r="F29" s="6">
        <v>2.8319999999999999E-3</v>
      </c>
      <c r="G29" s="3" t="e">
        <v>#N/A</v>
      </c>
      <c r="H29" s="4" t="e">
        <v>#N/A</v>
      </c>
      <c r="I29" s="5" t="e">
        <v>#N/A</v>
      </c>
      <c r="J29" s="6" t="e">
        <v>#N/A</v>
      </c>
    </row>
    <row r="30" spans="1:10" x14ac:dyDescent="0.25">
      <c r="A30" s="5" t="e">
        <v>#N/A</v>
      </c>
      <c r="B30" s="6" t="e">
        <v>#N/A</v>
      </c>
      <c r="C30" s="3">
        <v>41548</v>
      </c>
      <c r="D30" s="4">
        <v>2.0326950000000002E-3</v>
      </c>
      <c r="E30" s="5">
        <v>41548</v>
      </c>
      <c r="F30" s="6">
        <v>2.8319999999999999E-3</v>
      </c>
      <c r="G30" s="3" t="e">
        <v>#N/A</v>
      </c>
      <c r="H30" s="4" t="e">
        <v>#N/A</v>
      </c>
      <c r="I30" s="5" t="e">
        <v>#N/A</v>
      </c>
      <c r="J30" s="6" t="e">
        <v>#N/A</v>
      </c>
    </row>
    <row r="31" spans="1:10" x14ac:dyDescent="0.25">
      <c r="A31" s="5" t="e">
        <v>#N/A</v>
      </c>
      <c r="B31" s="6" t="e">
        <v>#N/A</v>
      </c>
      <c r="C31" s="3">
        <v>41549</v>
      </c>
      <c r="D31" s="4">
        <v>2.0326950000000002E-3</v>
      </c>
      <c r="E31" s="5">
        <v>41549</v>
      </c>
      <c r="F31" s="6">
        <v>2.8319999999999999E-3</v>
      </c>
      <c r="G31" s="3" t="e">
        <v>#N/A</v>
      </c>
      <c r="H31" s="4" t="e">
        <v>#N/A</v>
      </c>
      <c r="I31" s="5" t="e">
        <v>#N/A</v>
      </c>
      <c r="J31" s="6" t="e">
        <v>#N/A</v>
      </c>
    </row>
    <row r="32" spans="1:10" x14ac:dyDescent="0.25">
      <c r="A32" s="5" t="e">
        <v>#N/A</v>
      </c>
      <c r="B32" s="6" t="e">
        <v>#N/A</v>
      </c>
      <c r="C32" s="3">
        <v>41550</v>
      </c>
      <c r="D32" s="4">
        <v>2.0326950000000002E-3</v>
      </c>
      <c r="E32" s="5">
        <v>41550</v>
      </c>
      <c r="F32" s="6">
        <v>2.8319999999999999E-3</v>
      </c>
      <c r="G32" s="3" t="e">
        <v>#N/A</v>
      </c>
      <c r="H32" s="4" t="e">
        <v>#N/A</v>
      </c>
      <c r="I32" s="5" t="e">
        <v>#N/A</v>
      </c>
      <c r="J32" s="6" t="e">
        <v>#N/A</v>
      </c>
    </row>
    <row r="33" spans="1:10" x14ac:dyDescent="0.25">
      <c r="A33" s="5" t="e">
        <v>#N/A</v>
      </c>
      <c r="B33" s="6" t="e">
        <v>#N/A</v>
      </c>
      <c r="C33" s="3">
        <v>41551</v>
      </c>
      <c r="D33" s="4">
        <v>2.0326950000000002E-3</v>
      </c>
      <c r="E33" s="5">
        <v>41551</v>
      </c>
      <c r="F33" s="6">
        <v>2.8319999999999999E-3</v>
      </c>
      <c r="G33" s="3" t="e">
        <v>#N/A</v>
      </c>
      <c r="H33" s="4" t="e">
        <v>#N/A</v>
      </c>
      <c r="I33" s="5" t="e">
        <v>#N/A</v>
      </c>
      <c r="J33" s="6" t="e">
        <v>#N/A</v>
      </c>
    </row>
    <row r="34" spans="1:10" x14ac:dyDescent="0.25">
      <c r="A34" s="5" t="e">
        <v>#N/A</v>
      </c>
      <c r="B34" s="6" t="e">
        <v>#N/A</v>
      </c>
      <c r="C34" s="3">
        <v>41552</v>
      </c>
      <c r="D34" s="4">
        <v>2.0326950000000002E-3</v>
      </c>
      <c r="E34" s="5">
        <v>41552</v>
      </c>
      <c r="F34" s="6">
        <v>2.8319999999999999E-3</v>
      </c>
      <c r="G34" s="3" t="e">
        <v>#N/A</v>
      </c>
      <c r="H34" s="4" t="e">
        <v>#N/A</v>
      </c>
      <c r="I34" s="5" t="e">
        <v>#N/A</v>
      </c>
      <c r="J34" s="6" t="e">
        <v>#N/A</v>
      </c>
    </row>
    <row r="35" spans="1:10" x14ac:dyDescent="0.25">
      <c r="A35" s="5" t="e">
        <v>#N/A</v>
      </c>
      <c r="B35" s="6" t="e">
        <v>#N/A</v>
      </c>
      <c r="C35" s="3">
        <v>41553</v>
      </c>
      <c r="D35" s="4">
        <v>2.0326950000000002E-3</v>
      </c>
      <c r="E35" s="5">
        <v>41553</v>
      </c>
      <c r="F35" s="6">
        <v>2.8319999999999999E-3</v>
      </c>
      <c r="G35" s="3" t="e">
        <v>#N/A</v>
      </c>
      <c r="H35" s="4" t="e">
        <v>#N/A</v>
      </c>
      <c r="I35" s="5" t="e">
        <v>#N/A</v>
      </c>
      <c r="J35" s="6" t="e">
        <v>#N/A</v>
      </c>
    </row>
    <row r="36" spans="1:10" x14ac:dyDescent="0.25">
      <c r="A36" s="5" t="e">
        <v>#N/A</v>
      </c>
      <c r="B36" s="6" t="e">
        <v>#N/A</v>
      </c>
      <c r="C36" s="3">
        <v>41554</v>
      </c>
      <c r="D36" s="4">
        <v>2.0326950000000002E-3</v>
      </c>
      <c r="E36" s="5">
        <v>41554</v>
      </c>
      <c r="F36" s="6">
        <v>2.8319999999999999E-3</v>
      </c>
      <c r="G36" s="3" t="e">
        <v>#N/A</v>
      </c>
      <c r="H36" s="4" t="e">
        <v>#N/A</v>
      </c>
      <c r="I36" s="5" t="e">
        <v>#N/A</v>
      </c>
      <c r="J36" s="6" t="e">
        <v>#N/A</v>
      </c>
    </row>
    <row r="37" spans="1:10" x14ac:dyDescent="0.25">
      <c r="A37" s="5" t="e">
        <v>#N/A</v>
      </c>
      <c r="B37" s="6" t="e">
        <v>#N/A</v>
      </c>
      <c r="C37" s="3">
        <v>41555</v>
      </c>
      <c r="D37" s="4">
        <v>2.0326950000000002E-3</v>
      </c>
      <c r="E37" s="5">
        <v>41555</v>
      </c>
      <c r="F37" s="6">
        <v>2.8319999999999999E-3</v>
      </c>
      <c r="G37" s="3" t="e">
        <v>#N/A</v>
      </c>
      <c r="H37" s="4" t="e">
        <v>#N/A</v>
      </c>
      <c r="I37" s="5" t="e">
        <v>#N/A</v>
      </c>
      <c r="J37" s="6" t="e">
        <v>#N/A</v>
      </c>
    </row>
    <row r="38" spans="1:10" x14ac:dyDescent="0.25">
      <c r="A38" s="5" t="e">
        <v>#N/A</v>
      </c>
      <c r="B38" s="6" t="e">
        <v>#N/A</v>
      </c>
      <c r="C38" s="3">
        <v>41556</v>
      </c>
      <c r="D38" s="4">
        <v>2.0326950000000002E-3</v>
      </c>
      <c r="E38" s="5">
        <v>41556</v>
      </c>
      <c r="F38" s="6">
        <v>2.8319999999999999E-3</v>
      </c>
      <c r="G38" s="3" t="e">
        <v>#N/A</v>
      </c>
      <c r="H38" s="4" t="e">
        <v>#N/A</v>
      </c>
      <c r="I38" s="5" t="e">
        <v>#N/A</v>
      </c>
      <c r="J38" s="6" t="e">
        <v>#N/A</v>
      </c>
    </row>
    <row r="39" spans="1:10" x14ac:dyDescent="0.25">
      <c r="A39" s="5" t="e">
        <v>#N/A</v>
      </c>
      <c r="B39" s="6" t="e">
        <v>#N/A</v>
      </c>
      <c r="C39" s="3">
        <v>41557</v>
      </c>
      <c r="D39" s="4">
        <v>2.0326950000000002E-3</v>
      </c>
      <c r="E39" s="5">
        <v>41557</v>
      </c>
      <c r="F39" s="6">
        <v>2.8319999999999999E-3</v>
      </c>
      <c r="G39" s="3" t="e">
        <v>#N/A</v>
      </c>
      <c r="H39" s="4" t="e">
        <v>#N/A</v>
      </c>
      <c r="I39" s="5" t="e">
        <v>#N/A</v>
      </c>
      <c r="J39" s="6" t="e">
        <v>#N/A</v>
      </c>
    </row>
    <row r="40" spans="1:10" x14ac:dyDescent="0.25">
      <c r="A40" s="5" t="e">
        <v>#N/A</v>
      </c>
      <c r="B40" s="6" t="e">
        <v>#N/A</v>
      </c>
      <c r="C40" s="3">
        <v>41558</v>
      </c>
      <c r="D40" s="4">
        <v>2.0326950000000002E-3</v>
      </c>
      <c r="E40" s="5">
        <v>41558</v>
      </c>
      <c r="F40" s="6">
        <v>2.8319999999999999E-3</v>
      </c>
      <c r="G40" s="3" t="e">
        <v>#N/A</v>
      </c>
      <c r="H40" s="4" t="e">
        <v>#N/A</v>
      </c>
      <c r="I40" s="5" t="e">
        <v>#N/A</v>
      </c>
      <c r="J40" s="6" t="e">
        <v>#N/A</v>
      </c>
    </row>
    <row r="41" spans="1:10" x14ac:dyDescent="0.25">
      <c r="A41" s="5" t="e">
        <v>#N/A</v>
      </c>
      <c r="B41" s="6" t="e">
        <v>#N/A</v>
      </c>
      <c r="C41" s="3">
        <v>41559</v>
      </c>
      <c r="D41" s="4">
        <v>2.0326950000000002E-3</v>
      </c>
      <c r="E41" s="5">
        <v>41559</v>
      </c>
      <c r="F41" s="6">
        <v>2.8319999999999999E-3</v>
      </c>
      <c r="G41" s="3" t="e">
        <v>#N/A</v>
      </c>
      <c r="H41" s="4" t="e">
        <v>#N/A</v>
      </c>
      <c r="I41" s="5" t="e">
        <v>#N/A</v>
      </c>
      <c r="J41" s="6" t="e">
        <v>#N/A</v>
      </c>
    </row>
    <row r="42" spans="1:10" x14ac:dyDescent="0.25">
      <c r="A42" s="5" t="e">
        <v>#N/A</v>
      </c>
      <c r="B42" s="6" t="e">
        <v>#N/A</v>
      </c>
      <c r="C42" s="3">
        <v>41560</v>
      </c>
      <c r="D42" s="4">
        <v>2.0326950000000002E-3</v>
      </c>
      <c r="E42" s="5">
        <v>41560</v>
      </c>
      <c r="F42" s="6">
        <v>2.8319999999999999E-3</v>
      </c>
      <c r="G42" s="3" t="e">
        <v>#N/A</v>
      </c>
      <c r="H42" s="4" t="e">
        <v>#N/A</v>
      </c>
      <c r="I42" s="5" t="e">
        <v>#N/A</v>
      </c>
      <c r="J42" s="6" t="e">
        <v>#N/A</v>
      </c>
    </row>
    <row r="43" spans="1:10" x14ac:dyDescent="0.25">
      <c r="A43" s="5" t="e">
        <v>#N/A</v>
      </c>
      <c r="B43" s="6" t="e">
        <v>#N/A</v>
      </c>
      <c r="C43" s="3">
        <v>41561</v>
      </c>
      <c r="D43" s="4">
        <v>2.0326950000000002E-3</v>
      </c>
      <c r="E43" s="5">
        <v>41561</v>
      </c>
      <c r="F43" s="6">
        <v>2.8319999999999999E-3</v>
      </c>
      <c r="G43" s="3" t="e">
        <v>#N/A</v>
      </c>
      <c r="H43" s="4" t="e">
        <v>#N/A</v>
      </c>
      <c r="I43" s="5" t="e">
        <v>#N/A</v>
      </c>
      <c r="J43" s="6" t="e">
        <v>#N/A</v>
      </c>
    </row>
    <row r="44" spans="1:10" x14ac:dyDescent="0.25">
      <c r="A44" s="5" t="e">
        <v>#N/A</v>
      </c>
      <c r="B44" s="6" t="e">
        <v>#N/A</v>
      </c>
      <c r="C44" s="3">
        <v>41562</v>
      </c>
      <c r="D44" s="4">
        <v>2.0326950000000002E-3</v>
      </c>
      <c r="E44" s="5">
        <v>41562</v>
      </c>
      <c r="F44" s="6">
        <v>2.8319999999999999E-3</v>
      </c>
      <c r="G44" s="3" t="e">
        <v>#N/A</v>
      </c>
      <c r="H44" s="4" t="e">
        <v>#N/A</v>
      </c>
      <c r="I44" s="5" t="e">
        <v>#N/A</v>
      </c>
      <c r="J44" s="6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Curves</vt:lpstr>
      <vt:lpstr>Fixings</vt:lpstr>
    </vt:vector>
  </TitlesOfParts>
  <Company>Exelon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Letian:(Constellation)</dc:creator>
  <cp:lastModifiedBy>Letian</cp:lastModifiedBy>
  <dcterms:created xsi:type="dcterms:W3CDTF">2015-07-29T13:07:32Z</dcterms:created>
  <dcterms:modified xsi:type="dcterms:W3CDTF">2016-02-09T17:49:22Z</dcterms:modified>
</cp:coreProperties>
</file>