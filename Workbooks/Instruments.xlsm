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Letian\QLExtension\Output\Release\Workbooks\"/>
    </mc:Choice>
  </mc:AlternateContent>
  <bookViews>
    <workbookView xWindow="480" yWindow="300" windowWidth="15690" windowHeight="10155" activeTab="3"/>
  </bookViews>
  <sheets>
    <sheet name="Index" sheetId="22" r:id="rId1"/>
    <sheet name="IR" sheetId="21" r:id="rId2"/>
    <sheet name="Commod" sheetId="23" r:id="rId3"/>
    <sheet name="Spread" sheetId="24" r:id="rId4"/>
  </sheets>
  <calcPr calcId="152511"/>
</workbook>
</file>

<file path=xl/calcChain.xml><?xml version="1.0" encoding="utf-8"?>
<calcChain xmlns="http://schemas.openxmlformats.org/spreadsheetml/2006/main">
  <c r="H5" i="24" l="1"/>
  <c r="F1" i="23"/>
  <c r="E1" i="24"/>
  <c r="H4" i="22" a="1"/>
  <c r="E3" i="23"/>
  <c r="F14" i="21"/>
  <c r="J23" i="21" s="1"/>
  <c r="J21" i="21"/>
  <c r="J17" i="21"/>
  <c r="E3" i="24"/>
  <c r="E4" i="23"/>
  <c r="I1" i="23" a="1"/>
  <c r="E5" i="24"/>
  <c r="F20" i="23"/>
  <c r="F12" i="23"/>
  <c r="J20" i="21"/>
  <c r="F13" i="23"/>
  <c r="J18" i="21"/>
  <c r="J19" i="21"/>
  <c r="M1" i="21"/>
  <c r="F11" i="23"/>
  <c r="J22" i="21"/>
  <c r="H3" i="24"/>
  <c r="J16" i="21"/>
  <c r="F9" i="23"/>
  <c r="J15" i="21"/>
  <c r="E4" i="22"/>
  <c r="E5" i="23"/>
  <c r="E6" i="23" s="1"/>
  <c r="F16" i="23"/>
  <c r="F1" i="21"/>
  <c r="J4" i="21"/>
  <c r="E5" i="22"/>
  <c r="F19" i="23"/>
  <c r="F8" i="23"/>
  <c r="F7" i="23"/>
  <c r="F10" i="23"/>
  <c r="F18" i="23"/>
  <c r="F15" i="23"/>
  <c r="F17" i="23"/>
  <c r="F14" i="23"/>
  <c r="Q1" i="23"/>
  <c r="U1" i="23"/>
  <c r="J9" i="21"/>
  <c r="J12" i="21"/>
  <c r="J3" i="21"/>
  <c r="J10" i="21"/>
  <c r="J5" i="21"/>
  <c r="J11" i="21"/>
  <c r="J8" i="21"/>
  <c r="J6" i="21"/>
  <c r="J7" i="21"/>
  <c r="N24" i="23" a="1"/>
  <c r="N4" i="23"/>
  <c r="N5" i="23"/>
  <c r="Z24" i="23" a="1"/>
  <c r="V42" i="23" l="1"/>
  <c r="R42" i="23"/>
  <c r="N42" i="23"/>
  <c r="T41" i="23"/>
  <c r="P41" i="23"/>
  <c r="V40" i="23"/>
  <c r="R40" i="23"/>
  <c r="N40" i="23"/>
  <c r="T39" i="23"/>
  <c r="P39" i="23"/>
  <c r="V38" i="23"/>
  <c r="R38" i="23"/>
  <c r="N38" i="23"/>
  <c r="T37" i="23"/>
  <c r="P37" i="23"/>
  <c r="V36" i="23"/>
  <c r="R36" i="23"/>
  <c r="N36" i="23"/>
  <c r="T35" i="23"/>
  <c r="P35" i="23"/>
  <c r="V34" i="23"/>
  <c r="R34" i="23"/>
  <c r="N34" i="23"/>
  <c r="T33" i="23"/>
  <c r="P33" i="23"/>
  <c r="V32" i="23"/>
  <c r="R32" i="23"/>
  <c r="N32" i="23"/>
  <c r="T31" i="23"/>
  <c r="P31" i="23"/>
  <c r="V30" i="23"/>
  <c r="R30" i="23"/>
  <c r="N30" i="23"/>
  <c r="T29" i="23"/>
  <c r="P29" i="23"/>
  <c r="V28" i="23"/>
  <c r="U42" i="23"/>
  <c r="Q42" i="23"/>
  <c r="W41" i="23"/>
  <c r="S41" i="23"/>
  <c r="O41" i="23"/>
  <c r="U40" i="23"/>
  <c r="Q40" i="23"/>
  <c r="W39" i="23"/>
  <c r="S39" i="23"/>
  <c r="O39" i="23"/>
  <c r="U38" i="23"/>
  <c r="Q38" i="23"/>
  <c r="W37" i="23"/>
  <c r="S37" i="23"/>
  <c r="O37" i="23"/>
  <c r="U36" i="23"/>
  <c r="Q36" i="23"/>
  <c r="W35" i="23"/>
  <c r="S35" i="23"/>
  <c r="O35" i="23"/>
  <c r="U34" i="23"/>
  <c r="Q34" i="23"/>
  <c r="W33" i="23"/>
  <c r="S33" i="23"/>
  <c r="O33" i="23"/>
  <c r="U32" i="23"/>
  <c r="Q32" i="23"/>
  <c r="W31" i="23"/>
  <c r="S31" i="23"/>
  <c r="O31" i="23"/>
  <c r="U30" i="23"/>
  <c r="Q30" i="23"/>
  <c r="W29" i="23"/>
  <c r="S29" i="23"/>
  <c r="O29" i="23"/>
  <c r="U28" i="23"/>
  <c r="P42" i="23"/>
  <c r="R41" i="23"/>
  <c r="T40" i="23"/>
  <c r="V39" i="23"/>
  <c r="N39" i="23"/>
  <c r="P38" i="23"/>
  <c r="R37" i="23"/>
  <c r="T36" i="23"/>
  <c r="V35" i="23"/>
  <c r="N35" i="23"/>
  <c r="P34" i="23"/>
  <c r="R33" i="23"/>
  <c r="T32" i="23"/>
  <c r="V31" i="23"/>
  <c r="N31" i="23"/>
  <c r="P30" i="23"/>
  <c r="R29" i="23"/>
  <c r="T28" i="23"/>
  <c r="P28" i="23"/>
  <c r="V27" i="23"/>
  <c r="R27" i="23"/>
  <c r="N27" i="23"/>
  <c r="T26" i="23"/>
  <c r="P26" i="23"/>
  <c r="V25" i="23"/>
  <c r="R25" i="23"/>
  <c r="N25" i="23"/>
  <c r="T24" i="23"/>
  <c r="P24" i="23"/>
  <c r="V33" i="23"/>
  <c r="N24" i="23"/>
  <c r="W42" i="23"/>
  <c r="O42" i="23"/>
  <c r="Q41" i="23"/>
  <c r="S40" i="23"/>
  <c r="U39" i="23"/>
  <c r="W38" i="23"/>
  <c r="O38" i="23"/>
  <c r="Q37" i="23"/>
  <c r="S36" i="23"/>
  <c r="U35" i="23"/>
  <c r="W34" i="23"/>
  <c r="O34" i="23"/>
  <c r="Q33" i="23"/>
  <c r="S32" i="23"/>
  <c r="U31" i="23"/>
  <c r="W30" i="23"/>
  <c r="O30" i="23"/>
  <c r="Q29" i="23"/>
  <c r="S28" i="23"/>
  <c r="O28" i="23"/>
  <c r="U27" i="23"/>
  <c r="Q27" i="23"/>
  <c r="W26" i="23"/>
  <c r="S26" i="23"/>
  <c r="O26" i="23"/>
  <c r="U25" i="23"/>
  <c r="Q25" i="23"/>
  <c r="W24" i="23"/>
  <c r="S24" i="23"/>
  <c r="O24" i="23"/>
  <c r="T42" i="23"/>
  <c r="V41" i="23"/>
  <c r="N41" i="23"/>
  <c r="P40" i="23"/>
  <c r="R39" i="23"/>
  <c r="T38" i="23"/>
  <c r="V37" i="23"/>
  <c r="N37" i="23"/>
  <c r="P36" i="23"/>
  <c r="R35" i="23"/>
  <c r="T34" i="23"/>
  <c r="N33" i="23"/>
  <c r="P32" i="23"/>
  <c r="R31" i="23"/>
  <c r="T30" i="23"/>
  <c r="V29" i="23"/>
  <c r="N29" i="23"/>
  <c r="R28" i="23"/>
  <c r="N28" i="23"/>
  <c r="T27" i="23"/>
  <c r="P27" i="23"/>
  <c r="V26" i="23"/>
  <c r="R26" i="23"/>
  <c r="N26" i="23"/>
  <c r="T25" i="23"/>
  <c r="P25" i="23"/>
  <c r="V24" i="23"/>
  <c r="R24" i="23"/>
  <c r="S42" i="23"/>
  <c r="Q39" i="23"/>
  <c r="O36" i="23"/>
  <c r="W32" i="23"/>
  <c r="U29" i="23"/>
  <c r="S27" i="23"/>
  <c r="W25" i="23"/>
  <c r="Q24" i="23"/>
  <c r="U41" i="23"/>
  <c r="S38" i="23"/>
  <c r="Q35" i="23"/>
  <c r="O32" i="23"/>
  <c r="W28" i="23"/>
  <c r="O27" i="23"/>
  <c r="S25" i="23"/>
  <c r="W40" i="23"/>
  <c r="U37" i="23"/>
  <c r="S34" i="23"/>
  <c r="Q31" i="23"/>
  <c r="Q28" i="23"/>
  <c r="U26" i="23"/>
  <c r="O25" i="23"/>
  <c r="O40" i="23"/>
  <c r="W36" i="23"/>
  <c r="U33" i="23"/>
  <c r="S30" i="23"/>
  <c r="W27" i="23"/>
  <c r="Q26" i="23"/>
  <c r="U24" i="23"/>
  <c r="I20" i="23"/>
  <c r="I18" i="23"/>
  <c r="I16" i="23"/>
  <c r="I14" i="23"/>
  <c r="I12" i="23"/>
  <c r="I10" i="23"/>
  <c r="I8" i="23"/>
  <c r="I6" i="23"/>
  <c r="I4" i="23"/>
  <c r="I2" i="23"/>
  <c r="I17" i="23"/>
  <c r="I13" i="23"/>
  <c r="I9" i="23"/>
  <c r="I5" i="23"/>
  <c r="I1" i="23"/>
  <c r="J19" i="23"/>
  <c r="J17" i="23"/>
  <c r="J15" i="23"/>
  <c r="J13" i="23"/>
  <c r="J11" i="23"/>
  <c r="J9" i="23"/>
  <c r="J7" i="23"/>
  <c r="J5" i="23"/>
  <c r="J3" i="23"/>
  <c r="J1" i="23"/>
  <c r="I19" i="23"/>
  <c r="I15" i="23"/>
  <c r="I11" i="23"/>
  <c r="I7" i="23"/>
  <c r="I3" i="23"/>
  <c r="J16" i="23"/>
  <c r="J8" i="23"/>
  <c r="J10" i="23"/>
  <c r="J14" i="23"/>
  <c r="J6" i="23"/>
  <c r="J20" i="23"/>
  <c r="J12" i="23"/>
  <c r="J4" i="23"/>
  <c r="J18" i="23"/>
  <c r="J2" i="23"/>
  <c r="I21" i="22"/>
  <c r="I19" i="22"/>
  <c r="I17" i="22"/>
  <c r="I15" i="22"/>
  <c r="I13" i="22"/>
  <c r="I11" i="22"/>
  <c r="I9" i="22"/>
  <c r="I7" i="22"/>
  <c r="I5" i="22"/>
  <c r="I20" i="22"/>
  <c r="I18" i="22"/>
  <c r="I16" i="22"/>
  <c r="I12" i="22"/>
  <c r="I10" i="22"/>
  <c r="I6" i="22"/>
  <c r="H21" i="22"/>
  <c r="H19" i="22"/>
  <c r="H17" i="22"/>
  <c r="H15" i="22"/>
  <c r="H13" i="22"/>
  <c r="H11" i="22"/>
  <c r="H9" i="22"/>
  <c r="H7" i="22"/>
  <c r="H5" i="22"/>
  <c r="I14" i="22"/>
  <c r="I8" i="22"/>
  <c r="I4" i="22"/>
  <c r="H18" i="22"/>
  <c r="H10" i="22"/>
  <c r="H16" i="22"/>
  <c r="H8" i="22"/>
  <c r="H14" i="22"/>
  <c r="H6" i="22"/>
  <c r="H20" i="22"/>
  <c r="H12" i="22"/>
  <c r="H4" i="22"/>
  <c r="AI42" i="23"/>
  <c r="AE42" i="23"/>
  <c r="AA42" i="23"/>
  <c r="AG41" i="23"/>
  <c r="AC41" i="23"/>
  <c r="AI40" i="23"/>
  <c r="AE40" i="23"/>
  <c r="AA40" i="23"/>
  <c r="AG39" i="23"/>
  <c r="AC39" i="23"/>
  <c r="AI38" i="23"/>
  <c r="AE38" i="23"/>
  <c r="AA38" i="23"/>
  <c r="AG37" i="23"/>
  <c r="AC37" i="23"/>
  <c r="AI36" i="23"/>
  <c r="AE36" i="23"/>
  <c r="AA36" i="23"/>
  <c r="AG35" i="23"/>
  <c r="AC35" i="23"/>
  <c r="AI34" i="23"/>
  <c r="AE34" i="23"/>
  <c r="AA34" i="23"/>
  <c r="AG33" i="23"/>
  <c r="AC33" i="23"/>
  <c r="AI32" i="23"/>
  <c r="AE32" i="23"/>
  <c r="AA32" i="23"/>
  <c r="AG31" i="23"/>
  <c r="AC31" i="23"/>
  <c r="AI30" i="23"/>
  <c r="AE30" i="23"/>
  <c r="AA30" i="23"/>
  <c r="AG29" i="23"/>
  <c r="AC29" i="23"/>
  <c r="AI28" i="23"/>
  <c r="AE28" i="23"/>
  <c r="AA28" i="23"/>
  <c r="AG27" i="23"/>
  <c r="AC27" i="23"/>
  <c r="AI26" i="23"/>
  <c r="AE26" i="23"/>
  <c r="AA26" i="23"/>
  <c r="AG25" i="23"/>
  <c r="AC25" i="23"/>
  <c r="AI24" i="23"/>
  <c r="AE24" i="23"/>
  <c r="AA24" i="23"/>
  <c r="AH42" i="23"/>
  <c r="AD42" i="23"/>
  <c r="Z42" i="23"/>
  <c r="AF41" i="23"/>
  <c r="AB41" i="23"/>
  <c r="AH40" i="23"/>
  <c r="AD40" i="23"/>
  <c r="Z40" i="23"/>
  <c r="AF39" i="23"/>
  <c r="AB39" i="23"/>
  <c r="AH38" i="23"/>
  <c r="AD38" i="23"/>
  <c r="Z38" i="23"/>
  <c r="AF37" i="23"/>
  <c r="AB37" i="23"/>
  <c r="AH36" i="23"/>
  <c r="AD36" i="23"/>
  <c r="Z36" i="23"/>
  <c r="AF35" i="23"/>
  <c r="AB35" i="23"/>
  <c r="AH34" i="23"/>
  <c r="AD34" i="23"/>
  <c r="Z34" i="23"/>
  <c r="AF33" i="23"/>
  <c r="AB33" i="23"/>
  <c r="AH32" i="23"/>
  <c r="AD32" i="23"/>
  <c r="Z32" i="23"/>
  <c r="AF31" i="23"/>
  <c r="AB31" i="23"/>
  <c r="AH30" i="23"/>
  <c r="AD30" i="23"/>
  <c r="Z30" i="23"/>
  <c r="AF29" i="23"/>
  <c r="AB29" i="23"/>
  <c r="AH28" i="23"/>
  <c r="AD28" i="23"/>
  <c r="Z28" i="23"/>
  <c r="AF27" i="23"/>
  <c r="AB27" i="23"/>
  <c r="AH26" i="23"/>
  <c r="AD26" i="23"/>
  <c r="Z26" i="23"/>
  <c r="AF25" i="23"/>
  <c r="AB25" i="23"/>
  <c r="AH24" i="23"/>
  <c r="AD24" i="23"/>
  <c r="Z24" i="23"/>
  <c r="AC42" i="23"/>
  <c r="AE41" i="23"/>
  <c r="AG40" i="23"/>
  <c r="AI39" i="23"/>
  <c r="AA39" i="23"/>
  <c r="AC38" i="23"/>
  <c r="AE37" i="23"/>
  <c r="AG36" i="23"/>
  <c r="AI35" i="23"/>
  <c r="AA35" i="23"/>
  <c r="AC34" i="23"/>
  <c r="AE33" i="23"/>
  <c r="AG32" i="23"/>
  <c r="AI31" i="23"/>
  <c r="AA31" i="23"/>
  <c r="AC30" i="23"/>
  <c r="AE29" i="23"/>
  <c r="AG28" i="23"/>
  <c r="AI27" i="23"/>
  <c r="AA27" i="23"/>
  <c r="AC26" i="23"/>
  <c r="AE25" i="23"/>
  <c r="AG24" i="23"/>
  <c r="AH41" i="23"/>
  <c r="AH33" i="23"/>
  <c r="AB42" i="23"/>
  <c r="AD41" i="23"/>
  <c r="AF40" i="23"/>
  <c r="AH39" i="23"/>
  <c r="Z39" i="23"/>
  <c r="AB38" i="23"/>
  <c r="AD37" i="23"/>
  <c r="AF36" i="23"/>
  <c r="AH35" i="23"/>
  <c r="Z35" i="23"/>
  <c r="AB34" i="23"/>
  <c r="AD33" i="23"/>
  <c r="AF32" i="23"/>
  <c r="AH31" i="23"/>
  <c r="Z31" i="23"/>
  <c r="AB30" i="23"/>
  <c r="AD29" i="23"/>
  <c r="AF28" i="23"/>
  <c r="AH27" i="23"/>
  <c r="Z27" i="23"/>
  <c r="AB26" i="23"/>
  <c r="AD25" i="23"/>
  <c r="AF24" i="23"/>
  <c r="AG42" i="23"/>
  <c r="AI41" i="23"/>
  <c r="AA41" i="23"/>
  <c r="AC40" i="23"/>
  <c r="AE39" i="23"/>
  <c r="AG38" i="23"/>
  <c r="AI37" i="23"/>
  <c r="AA37" i="23"/>
  <c r="AC36" i="23"/>
  <c r="AE35" i="23"/>
  <c r="AG34" i="23"/>
  <c r="AI33" i="23"/>
  <c r="AA33" i="23"/>
  <c r="AC32" i="23"/>
  <c r="AE31" i="23"/>
  <c r="AG30" i="23"/>
  <c r="AI29" i="23"/>
  <c r="AA29" i="23"/>
  <c r="AC28" i="23"/>
  <c r="AE27" i="23"/>
  <c r="AG26" i="23"/>
  <c r="AI25" i="23"/>
  <c r="AA25" i="23"/>
  <c r="AC24" i="23"/>
  <c r="AF42" i="23"/>
  <c r="Z41" i="23"/>
  <c r="AB40" i="23"/>
  <c r="AD39" i="23"/>
  <c r="AF38" i="23"/>
  <c r="AH37" i="23"/>
  <c r="Z37" i="23"/>
  <c r="AB36" i="23"/>
  <c r="AD35" i="23"/>
  <c r="AF34" i="23"/>
  <c r="Z33" i="23"/>
  <c r="AH29" i="23"/>
  <c r="AF26" i="23"/>
  <c r="AB32" i="23"/>
  <c r="Z29" i="23"/>
  <c r="AH25" i="23"/>
  <c r="AD31" i="23"/>
  <c r="AB28" i="23"/>
  <c r="Z25" i="23"/>
  <c r="AF30" i="23"/>
  <c r="AD27" i="23"/>
  <c r="AB24" i="23"/>
  <c r="I3" i="21"/>
  <c r="I4" i="21"/>
  <c r="I5" i="21"/>
  <c r="I6" i="21"/>
  <c r="I7" i="21"/>
  <c r="I8" i="21"/>
  <c r="I9" i="21"/>
  <c r="I10" i="21"/>
  <c r="I11" i="21"/>
  <c r="I12" i="21"/>
  <c r="K16" i="23"/>
  <c r="K8" i="23"/>
  <c r="K17" i="23"/>
  <c r="K1" i="23"/>
  <c r="K15" i="23"/>
  <c r="K14" i="23"/>
  <c r="K6" i="23"/>
  <c r="K13" i="23"/>
  <c r="K11" i="23"/>
  <c r="K3" i="23"/>
  <c r="K20" i="23"/>
  <c r="K12" i="23"/>
  <c r="K4" i="23"/>
  <c r="K9" i="23"/>
  <c r="K7" i="23"/>
  <c r="K18" i="23"/>
  <c r="K10" i="23"/>
  <c r="K2" i="23"/>
  <c r="K5" i="23"/>
  <c r="K19" i="23"/>
  <c r="M1" i="23"/>
  <c r="N3" i="23"/>
  <c r="B24" i="23" a="1"/>
  <c r="D25" i="23" l="1"/>
  <c r="I24" i="23"/>
  <c r="J24" i="23"/>
  <c r="F25" i="23"/>
  <c r="H24" i="23"/>
  <c r="K24" i="23"/>
  <c r="K25" i="23"/>
  <c r="F24" i="23"/>
  <c r="B25" i="23"/>
  <c r="I25" i="23"/>
  <c r="E25" i="23"/>
  <c r="L25" i="23"/>
  <c r="G24" i="23"/>
  <c r="G25" i="23"/>
  <c r="B24" i="23"/>
  <c r="E24" i="23"/>
  <c r="D24" i="23"/>
  <c r="H25" i="23"/>
  <c r="C24" i="23"/>
  <c r="C25" i="23"/>
  <c r="J25" i="23"/>
  <c r="L24" i="23"/>
  <c r="J2" i="24"/>
  <c r="AG43" i="23" l="1"/>
  <c r="AI43" i="23"/>
</calcChain>
</file>

<file path=xl/sharedStrings.xml><?xml version="1.0" encoding="utf-8"?>
<sst xmlns="http://schemas.openxmlformats.org/spreadsheetml/2006/main" count="47" uniqueCount="38">
  <si>
    <t>IR Curve</t>
  </si>
  <si>
    <t>rate</t>
  </si>
  <si>
    <t>AsofDate</t>
  </si>
  <si>
    <t>DF</t>
  </si>
  <si>
    <t>IR Curve 2</t>
  </si>
  <si>
    <t>Name</t>
  </si>
  <si>
    <t>NG</t>
  </si>
  <si>
    <t>Clear</t>
  </si>
  <si>
    <t>Add</t>
  </si>
  <si>
    <t>Get</t>
  </si>
  <si>
    <t>Curve</t>
  </si>
  <si>
    <t>Index</t>
  </si>
  <si>
    <t>Display</t>
  </si>
  <si>
    <t>Price</t>
  </si>
  <si>
    <t>Futures</t>
  </si>
  <si>
    <t>NPV</t>
  </si>
  <si>
    <t>VanillaSwap</t>
  </si>
  <si>
    <t>startdate</t>
  </si>
  <si>
    <t>enddate</t>
  </si>
  <si>
    <t>basisswap</t>
  </si>
  <si>
    <t>PayCoeff</t>
  </si>
  <si>
    <t>RecCoeff</t>
  </si>
  <si>
    <t>PaySprd</t>
  </si>
  <si>
    <t>RecSprd</t>
  </si>
  <si>
    <t>SettleDate</t>
  </si>
  <si>
    <t>Maturity</t>
  </si>
  <si>
    <t>Leg1</t>
  </si>
  <si>
    <t>Vol1</t>
  </si>
  <si>
    <t>Leg2</t>
  </si>
  <si>
    <t>Vol2</t>
  </si>
  <si>
    <t>corr</t>
  </si>
  <si>
    <t>r</t>
  </si>
  <si>
    <t>K</t>
  </si>
  <si>
    <t>Type</t>
  </si>
  <si>
    <t>CALL</t>
  </si>
  <si>
    <t>Option</t>
  </si>
  <si>
    <t>pp. 214</t>
  </si>
  <si>
    <t>ref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</si>
</sst>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"/>
  </numFmts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/>
    <xf numFmtId="0" fontId="0" fillId="2" borderId="0" xfId="0" applyFill="1"/>
    <xf numFmtId="16" fontId="0" fillId="0" borderId="0" xfId="0" applyNumberFormat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CCEC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21"/>
  <sheetViews>
    <sheetView workbookViewId="0">
      <selection activeCell="H4" sqref="H4:I21"/>
    </sheetView>
  </sheetViews>
  <sheetFormatPr defaultRowHeight="15" x14ac:dyDescent="0.25"/>
  <sheetData>
    <row r="1" spans="1:9" x14ac:dyDescent="0.25">
      <c r="A1" s="3">
        <v>42129</v>
      </c>
      <c r="B1">
        <v>1</v>
      </c>
      <c r="D1" t="s">
        <v>5</v>
      </c>
      <c r="E1" t="s">
        <v>6</v>
      </c>
    </row>
    <row r="2" spans="1:9" x14ac:dyDescent="0.25">
      <c r="A2" s="3">
        <v>42156</v>
      </c>
      <c r="B2">
        <v>2</v>
      </c>
    </row>
    <row r="3" spans="1:9" x14ac:dyDescent="0.25">
      <c r="A3" s="3">
        <v>42186</v>
      </c>
      <c r="B3">
        <v>3</v>
      </c>
    </row>
    <row r="4" spans="1:9" x14ac:dyDescent="0.25">
      <c r="A4" s="3">
        <v>42217</v>
      </c>
      <c r="B4">
        <v>4</v>
      </c>
      <c r="D4" t="s">
        <v>8</v>
      </c>
      <c r="E4" t="str">
        <f>_xll.qlIndexesSetHistory(E1,A1:A18,B1:B18)</f>
        <v>IDX@NG</v>
      </c>
      <c r="G4" t="s">
        <v>9</v>
      </c>
      <c r="H4" s="3" t="e">
        <f t="array" ref="H4:I21">_xll.qlIndexeGetHistory(E1)</f>
        <v>#VALUE!</v>
      </c>
      <c r="I4" t="e">
        <v>#VALUE!</v>
      </c>
    </row>
    <row r="5" spans="1:9" x14ac:dyDescent="0.25">
      <c r="A5" s="3">
        <v>42248</v>
      </c>
      <c r="B5">
        <v>5</v>
      </c>
      <c r="D5" t="s">
        <v>7</v>
      </c>
      <c r="E5" t="str">
        <f>_xll.qlIndexesClearHistory(E1)</f>
        <v>IDX@NG</v>
      </c>
      <c r="H5" s="3" t="e">
        <v>#VALUE!</v>
      </c>
      <c r="I5" t="e">
        <v>#VALUE!</v>
      </c>
    </row>
    <row r="6" spans="1:9" x14ac:dyDescent="0.25">
      <c r="A6" s="3">
        <v>42278</v>
      </c>
      <c r="B6">
        <v>6</v>
      </c>
      <c r="H6" s="3" t="e">
        <v>#VALUE!</v>
      </c>
      <c r="I6" t="e">
        <v>#VALUE!</v>
      </c>
    </row>
    <row r="7" spans="1:9" x14ac:dyDescent="0.25">
      <c r="A7" s="3">
        <v>42309</v>
      </c>
      <c r="B7">
        <v>7</v>
      </c>
      <c r="H7" s="3" t="e">
        <v>#VALUE!</v>
      </c>
      <c r="I7" t="e">
        <v>#VALUE!</v>
      </c>
    </row>
    <row r="8" spans="1:9" x14ac:dyDescent="0.25">
      <c r="A8" s="3">
        <v>42339</v>
      </c>
      <c r="B8">
        <v>8</v>
      </c>
      <c r="H8" s="3" t="e">
        <v>#VALUE!</v>
      </c>
      <c r="I8" t="e">
        <v>#VALUE!</v>
      </c>
    </row>
    <row r="9" spans="1:9" x14ac:dyDescent="0.25">
      <c r="A9" s="3">
        <v>42370</v>
      </c>
      <c r="B9">
        <v>9</v>
      </c>
      <c r="H9" s="3" t="e">
        <v>#VALUE!</v>
      </c>
      <c r="I9" t="e">
        <v>#VALUE!</v>
      </c>
    </row>
    <row r="10" spans="1:9" x14ac:dyDescent="0.25">
      <c r="A10" s="3">
        <v>42401</v>
      </c>
      <c r="B10">
        <v>10</v>
      </c>
      <c r="H10" s="3" t="e">
        <v>#VALUE!</v>
      </c>
      <c r="I10" t="e">
        <v>#VALUE!</v>
      </c>
    </row>
    <row r="11" spans="1:9" x14ac:dyDescent="0.25">
      <c r="A11" s="3">
        <v>42430</v>
      </c>
      <c r="B11">
        <v>11</v>
      </c>
      <c r="H11" s="3" t="e">
        <v>#VALUE!</v>
      </c>
      <c r="I11" t="e">
        <v>#VALUE!</v>
      </c>
    </row>
    <row r="12" spans="1:9" x14ac:dyDescent="0.25">
      <c r="A12" s="3">
        <v>42461</v>
      </c>
      <c r="B12">
        <v>12</v>
      </c>
      <c r="H12" s="3" t="e">
        <v>#VALUE!</v>
      </c>
      <c r="I12" t="e">
        <v>#VALUE!</v>
      </c>
    </row>
    <row r="13" spans="1:9" x14ac:dyDescent="0.25">
      <c r="A13" s="3">
        <v>42491</v>
      </c>
      <c r="B13">
        <v>13</v>
      </c>
      <c r="H13" s="3" t="e">
        <v>#VALUE!</v>
      </c>
      <c r="I13" t="e">
        <v>#VALUE!</v>
      </c>
    </row>
    <row r="14" spans="1:9" x14ac:dyDescent="0.25">
      <c r="A14" s="3">
        <v>42522</v>
      </c>
      <c r="B14">
        <v>14</v>
      </c>
      <c r="H14" s="3" t="e">
        <v>#VALUE!</v>
      </c>
      <c r="I14" t="e">
        <v>#VALUE!</v>
      </c>
    </row>
    <row r="15" spans="1:9" x14ac:dyDescent="0.25">
      <c r="A15" s="3">
        <v>42552</v>
      </c>
      <c r="B15">
        <v>15</v>
      </c>
      <c r="H15" s="3" t="e">
        <v>#VALUE!</v>
      </c>
      <c r="I15" t="e">
        <v>#VALUE!</v>
      </c>
    </row>
    <row r="16" spans="1:9" x14ac:dyDescent="0.25">
      <c r="A16" s="3">
        <v>42583</v>
      </c>
      <c r="B16">
        <v>16</v>
      </c>
      <c r="H16" s="3" t="e">
        <v>#VALUE!</v>
      </c>
      <c r="I16" t="e">
        <v>#VALUE!</v>
      </c>
    </row>
    <row r="17" spans="1:9" x14ac:dyDescent="0.25">
      <c r="A17" s="3">
        <v>42614</v>
      </c>
      <c r="B17">
        <v>17</v>
      </c>
      <c r="H17" s="3" t="e">
        <v>#VALUE!</v>
      </c>
      <c r="I17" t="e">
        <v>#VALUE!</v>
      </c>
    </row>
    <row r="18" spans="1:9" x14ac:dyDescent="0.25">
      <c r="A18" s="3">
        <v>42644</v>
      </c>
      <c r="B18">
        <v>18</v>
      </c>
      <c r="H18" s="3" t="e">
        <v>#VALUE!</v>
      </c>
      <c r="I18" t="e">
        <v>#VALUE!</v>
      </c>
    </row>
    <row r="19" spans="1:9" x14ac:dyDescent="0.25">
      <c r="H19" s="3" t="e">
        <v>#VALUE!</v>
      </c>
      <c r="I19" t="e">
        <v>#VALUE!</v>
      </c>
    </row>
    <row r="20" spans="1:9" x14ac:dyDescent="0.25">
      <c r="H20" s="3" t="e">
        <v>#VALUE!</v>
      </c>
      <c r="I20" t="e">
        <v>#VALUE!</v>
      </c>
    </row>
    <row r="21" spans="1:9" x14ac:dyDescent="0.25">
      <c r="H21" s="3" t="e">
        <v>#VALUE!</v>
      </c>
      <c r="I21" t="e">
        <v>#VALUE!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23"/>
  <sheetViews>
    <sheetView workbookViewId="0">
      <selection activeCell="J34" sqref="J34"/>
    </sheetView>
  </sheetViews>
  <sheetFormatPr defaultRowHeight="15" x14ac:dyDescent="0.25"/>
  <cols>
    <col min="1" max="1" width="9.7109375" bestFit="1" customWidth="1"/>
    <col min="2" max="2" width="10" customWidth="1"/>
    <col min="9" max="9" width="9.7109375" bestFit="1" customWidth="1"/>
    <col min="13" max="13" width="9.7109375" bestFit="1" customWidth="1"/>
  </cols>
  <sheetData>
    <row r="1" spans="1:13" x14ac:dyDescent="0.25">
      <c r="A1" s="1">
        <v>42144</v>
      </c>
      <c r="B1">
        <v>1</v>
      </c>
      <c r="E1" s="2" t="s">
        <v>0</v>
      </c>
      <c r="F1" t="str">
        <f>_xll.qlCurveIRFlatForward("IRFlat",J1,0)</f>
        <v>CRV@IRFlat#21:45:19</v>
      </c>
      <c r="I1" t="s">
        <v>1</v>
      </c>
      <c r="J1">
        <v>0.05</v>
      </c>
      <c r="L1" t="s">
        <v>2</v>
      </c>
      <c r="M1" s="1">
        <f>_xll.qlTimeGetEvaluationDate()</f>
        <v>41061</v>
      </c>
    </row>
    <row r="2" spans="1:13" x14ac:dyDescent="0.25">
      <c r="A2" s="1">
        <v>42156</v>
      </c>
      <c r="B2">
        <v>0.99</v>
      </c>
      <c r="I2" t="s">
        <v>3</v>
      </c>
    </row>
    <row r="3" spans="1:13" x14ac:dyDescent="0.25">
      <c r="A3" s="1">
        <v>42186</v>
      </c>
      <c r="B3">
        <v>0.98</v>
      </c>
      <c r="I3" s="1">
        <f>A1</f>
        <v>42144</v>
      </c>
      <c r="J3">
        <f>_xll.qlCurveIRGetDiscountFactor($F$1,I3)</f>
        <v>0.86212400239015063</v>
      </c>
    </row>
    <row r="4" spans="1:13" x14ac:dyDescent="0.25">
      <c r="A4" s="1">
        <v>42217</v>
      </c>
      <c r="B4">
        <v>0.97</v>
      </c>
      <c r="I4" s="1">
        <f t="shared" ref="I4:I12" si="0">A2</f>
        <v>42156</v>
      </c>
      <c r="J4">
        <f>_xll.qlCurveIRGetDiscountFactor($F$1,I4)</f>
        <v>0.86070797642505781</v>
      </c>
    </row>
    <row r="5" spans="1:13" x14ac:dyDescent="0.25">
      <c r="A5" s="1">
        <v>42248</v>
      </c>
      <c r="B5">
        <v>0.96</v>
      </c>
      <c r="I5" s="1">
        <f t="shared" si="0"/>
        <v>42186</v>
      </c>
      <c r="J5">
        <f>_xll.qlCurveIRGetDiscountFactor($F$1,I5)</f>
        <v>0.85717807854034311</v>
      </c>
    </row>
    <row r="6" spans="1:13" x14ac:dyDescent="0.25">
      <c r="A6" s="1">
        <v>42278</v>
      </c>
      <c r="B6">
        <v>0.95</v>
      </c>
      <c r="I6" s="1">
        <f t="shared" si="0"/>
        <v>42217</v>
      </c>
      <c r="J6">
        <f>_xll.qlCurveIRGetDiscountFactor($F$1,I6)</f>
        <v>0.85354572523753602</v>
      </c>
    </row>
    <row r="7" spans="1:13" x14ac:dyDescent="0.25">
      <c r="A7" s="1">
        <v>42309</v>
      </c>
      <c r="B7">
        <v>0.94</v>
      </c>
      <c r="I7" s="1">
        <f t="shared" si="0"/>
        <v>42248</v>
      </c>
      <c r="J7">
        <f>_xll.qlCurveIRGetDiscountFactor($F$1,I7)</f>
        <v>0.8499287642911677</v>
      </c>
    </row>
    <row r="8" spans="1:13" x14ac:dyDescent="0.25">
      <c r="A8" s="1">
        <v>42339</v>
      </c>
      <c r="B8">
        <v>0.93</v>
      </c>
      <c r="I8" s="1">
        <f t="shared" si="0"/>
        <v>42278</v>
      </c>
      <c r="J8">
        <f>_xll.qlCurveIRGetDiscountFactor($F$1,I8)</f>
        <v>0.84644307363951288</v>
      </c>
    </row>
    <row r="9" spans="1:13" x14ac:dyDescent="0.25">
      <c r="A9" s="1">
        <v>42370</v>
      </c>
      <c r="B9">
        <v>0.92</v>
      </c>
      <c r="I9" s="1">
        <f t="shared" si="0"/>
        <v>42309</v>
      </c>
      <c r="J9">
        <f>_xll.qlCurveIRGetDiscountFactor($F$1,I9)</f>
        <v>0.84285621068635808</v>
      </c>
    </row>
    <row r="10" spans="1:13" x14ac:dyDescent="0.25">
      <c r="A10" s="1">
        <v>42401</v>
      </c>
      <c r="B10">
        <v>0.91</v>
      </c>
      <c r="I10" s="1">
        <f t="shared" si="0"/>
        <v>42339</v>
      </c>
      <c r="J10">
        <f>_xll.qlCurveIRGetDiscountFactor($F$1,I10)</f>
        <v>0.83939952568202258</v>
      </c>
    </row>
    <row r="11" spans="1:13" x14ac:dyDescent="0.25">
      <c r="A11" s="1">
        <v>42430</v>
      </c>
      <c r="B11">
        <v>0.9</v>
      </c>
      <c r="I11" s="1">
        <f t="shared" si="0"/>
        <v>42370</v>
      </c>
      <c r="J11">
        <f>_xll.qlCurveIRGetDiscountFactor($F$1,I11)</f>
        <v>0.83584251026618517</v>
      </c>
    </row>
    <row r="12" spans="1:13" x14ac:dyDescent="0.25">
      <c r="A12" s="1">
        <v>42461</v>
      </c>
      <c r="B12">
        <v>0.89</v>
      </c>
      <c r="I12" s="1">
        <f t="shared" si="0"/>
        <v>42401</v>
      </c>
      <c r="J12">
        <f>_xll.qlCurveIRGetDiscountFactor($F$1,I12)</f>
        <v>0.83230056795711205</v>
      </c>
    </row>
    <row r="13" spans="1:13" x14ac:dyDescent="0.25">
      <c r="A13" s="1">
        <v>42491</v>
      </c>
      <c r="B13">
        <v>0.88</v>
      </c>
    </row>
    <row r="14" spans="1:13" x14ac:dyDescent="0.25">
      <c r="A14" s="1">
        <v>42522</v>
      </c>
      <c r="B14">
        <v>0.87</v>
      </c>
      <c r="E14" s="2" t="s">
        <v>4</v>
      </c>
      <c r="F14" t="str">
        <f>_xll.qlCurveIRDiscountCurve("IRDC",A1:A23,B1:B23)</f>
        <v>CRV@IRDC#21:45:19</v>
      </c>
      <c r="I14" t="s">
        <v>3</v>
      </c>
    </row>
    <row r="15" spans="1:13" x14ac:dyDescent="0.25">
      <c r="A15" s="1">
        <v>42552</v>
      </c>
      <c r="B15">
        <v>0.86</v>
      </c>
      <c r="I15" s="3">
        <v>42144</v>
      </c>
      <c r="J15">
        <f>_xll.qlCurveIRGetDiscountFactor($F$14,I15)</f>
        <v>1</v>
      </c>
    </row>
    <row r="16" spans="1:13" x14ac:dyDescent="0.25">
      <c r="A16" s="1">
        <v>42583</v>
      </c>
      <c r="B16">
        <v>0.85</v>
      </c>
      <c r="I16" s="3">
        <v>42156</v>
      </c>
      <c r="J16">
        <f>_xll.qlCurveIRGetDiscountFactor($F$14,I16)</f>
        <v>0.99</v>
      </c>
    </row>
    <row r="17" spans="1:10" x14ac:dyDescent="0.25">
      <c r="A17" s="1">
        <v>42614</v>
      </c>
      <c r="B17">
        <v>0.84</v>
      </c>
      <c r="I17" s="3">
        <v>42170</v>
      </c>
      <c r="J17">
        <f>_xll.qlCurveIRGetDiscountFactor($F$14,I17)</f>
        <v>0.98532069787290544</v>
      </c>
    </row>
    <row r="18" spans="1:10" x14ac:dyDescent="0.25">
      <c r="A18" s="1">
        <v>42644</v>
      </c>
      <c r="B18">
        <v>0.83</v>
      </c>
      <c r="I18" s="3">
        <v>42186</v>
      </c>
      <c r="J18">
        <f>_xll.qlCurveIRGetDiscountFactor($F$14,I18)</f>
        <v>0.98</v>
      </c>
    </row>
    <row r="19" spans="1:10" x14ac:dyDescent="0.25">
      <c r="A19" s="1">
        <v>42675</v>
      </c>
      <c r="B19">
        <v>0.82</v>
      </c>
      <c r="I19" s="3">
        <v>42156</v>
      </c>
      <c r="J19">
        <f>_xll.qlCurveIRGetDiscountFactor($F$14,I19)</f>
        <v>0.99</v>
      </c>
    </row>
    <row r="20" spans="1:10" x14ac:dyDescent="0.25">
      <c r="A20" s="1">
        <v>42705</v>
      </c>
      <c r="B20">
        <v>0.81</v>
      </c>
      <c r="I20" s="3">
        <v>42170</v>
      </c>
      <c r="J20">
        <f>_xll.qlCurveIRGetDiscountFactor($F$14,I20)</f>
        <v>0.98532069787290544</v>
      </c>
    </row>
    <row r="21" spans="1:10" x14ac:dyDescent="0.25">
      <c r="A21" s="1">
        <v>42736</v>
      </c>
      <c r="B21">
        <v>0.8</v>
      </c>
      <c r="I21" s="3">
        <v>42186</v>
      </c>
      <c r="J21">
        <f>_xll.qlCurveIRGetDiscountFactor($F$14,I21)</f>
        <v>0.98</v>
      </c>
    </row>
    <row r="22" spans="1:10" x14ac:dyDescent="0.25">
      <c r="A22" s="1">
        <v>42767</v>
      </c>
      <c r="B22">
        <v>0.79</v>
      </c>
      <c r="I22" s="3">
        <v>42156</v>
      </c>
      <c r="J22">
        <f>_xll.qlCurveIRGetDiscountFactor($F$14,I22)</f>
        <v>0.99</v>
      </c>
    </row>
    <row r="23" spans="1:10" x14ac:dyDescent="0.25">
      <c r="A23" s="1">
        <v>42795</v>
      </c>
      <c r="B23">
        <v>0.78</v>
      </c>
      <c r="I23" s="3">
        <v>42170</v>
      </c>
      <c r="J23">
        <f>_xll.qlCurveIRGetDiscountFactor($F$14,I23)</f>
        <v>0.98532069787290544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I43"/>
  <sheetViews>
    <sheetView topLeftCell="G1" workbookViewId="0">
      <pane xSplit="24765" topLeftCell="Y1"/>
      <selection activeCell="M9" sqref="M9"/>
      <selection pane="topRight" activeCell="Y1" sqref="Y1"/>
    </sheetView>
  </sheetViews>
  <sheetFormatPr defaultRowHeight="15" x14ac:dyDescent="0.25"/>
  <cols>
    <col min="1" max="1" width="12.140625" customWidth="1"/>
    <col min="2" max="2" width="9.7109375" bestFit="1" customWidth="1"/>
    <col min="3" max="4" width="9.28515625" bestFit="1" customWidth="1"/>
    <col min="5" max="5" width="11.28515625" customWidth="1"/>
    <col min="6" max="8" width="9.28515625" bestFit="1" customWidth="1"/>
    <col min="9" max="9" width="9.85546875" bestFit="1" customWidth="1"/>
    <col min="10" max="12" width="9.28515625" bestFit="1" customWidth="1"/>
    <col min="14" max="14" width="15.85546875" bestFit="1" customWidth="1"/>
    <col min="16" max="16" width="11.85546875" bestFit="1" customWidth="1"/>
    <col min="17" max="17" width="9.7109375" bestFit="1" customWidth="1"/>
    <col min="20" max="20" width="10" bestFit="1" customWidth="1"/>
    <col min="21" max="21" width="9.7109375" bestFit="1" customWidth="1"/>
    <col min="23" max="23" width="9.7109375" bestFit="1" customWidth="1"/>
    <col min="24" max="25" width="9.28515625" bestFit="1" customWidth="1"/>
    <col min="26" max="26" width="9.7109375" bestFit="1" customWidth="1"/>
    <col min="27" max="30" width="9.42578125" bestFit="1" customWidth="1"/>
    <col min="31" max="35" width="9.28515625" bestFit="1" customWidth="1"/>
  </cols>
  <sheetData>
    <row r="1" spans="1:26" x14ac:dyDescent="0.25">
      <c r="A1" s="1">
        <v>42144</v>
      </c>
      <c r="B1">
        <v>3</v>
      </c>
      <c r="C1">
        <v>3.2</v>
      </c>
      <c r="D1" t="s">
        <v>2</v>
      </c>
      <c r="E1" s="3">
        <v>42144</v>
      </c>
      <c r="F1" s="3">
        <f>_xll.qlTimeSetEvaluationDate(E1)</f>
        <v>42144</v>
      </c>
      <c r="H1" t="s">
        <v>12</v>
      </c>
      <c r="I1" s="1">
        <f t="array" ref="I1:J20">_xll.qlCurveCommodDisplayForwardsCurve(E3)</f>
        <v>42144</v>
      </c>
      <c r="J1">
        <v>3</v>
      </c>
      <c r="K1">
        <f>_xll.qlCurveIRGetDiscountFactor(IR!$F$1,Commod!I1)</f>
        <v>0.86212400239015063</v>
      </c>
      <c r="L1" t="s">
        <v>14</v>
      </c>
      <c r="M1" t="str">
        <f>_xll.qlInstCommodityFuture("comfut1","EnergyFuture",-1,3.9,500,I19,I20,E4,IR!F1)</f>
        <v>Fut@comfut1#21:45:19</v>
      </c>
      <c r="P1" t="s">
        <v>16</v>
      </c>
      <c r="Q1" t="str">
        <f>_xll.qlInstCommodityVanillaSwap("vswp","EnergyVanillaSwap",TRUE,R3,R4:R20,P4:P20,Q4:Q20,E4,IR!F1)</f>
        <v>Swp@vswp#21:45:19</v>
      </c>
      <c r="T1" t="s">
        <v>19</v>
      </c>
      <c r="U1" t="str">
        <f>_xll.qlInstCommodityBasisSwap("bss","CommodityBasisSwap",V4:V20,T4:T20,U4:U20,W4:W20,X4:X20,Y4:Y20,Z4:Z20,E4,E6,IR!F1,IR!F1)</f>
        <v>Swp@bss#21:45:19</v>
      </c>
    </row>
    <row r="2" spans="1:26" x14ac:dyDescent="0.25">
      <c r="A2" s="1">
        <v>42156</v>
      </c>
      <c r="B2">
        <v>3.5</v>
      </c>
      <c r="C2">
        <v>2.1</v>
      </c>
      <c r="I2" s="1">
        <v>42156</v>
      </c>
      <c r="J2">
        <v>3.5</v>
      </c>
      <c r="K2">
        <f>_xll.qlCurveIRGetDiscountFactor(IR!$F$1,Commod!I2)</f>
        <v>0.86070797642505781</v>
      </c>
    </row>
    <row r="3" spans="1:26" x14ac:dyDescent="0.25">
      <c r="A3" s="1">
        <v>42186</v>
      </c>
      <c r="B3">
        <v>4</v>
      </c>
      <c r="C3">
        <v>4.2</v>
      </c>
      <c r="D3" t="s">
        <v>10</v>
      </c>
      <c r="E3" t="str">
        <f>_xll.qlCurveCommodForwardsCurve("crvng","ng",A1:A20,B1:B20)</f>
        <v>CRV@crvng#21:45:19</v>
      </c>
      <c r="I3" s="1">
        <v>42186</v>
      </c>
      <c r="J3">
        <v>4</v>
      </c>
      <c r="K3">
        <f>_xll.qlCurveIRGetDiscountFactor(IR!$F$1,Commod!I3)</f>
        <v>0.85717807854034311</v>
      </c>
      <c r="M3" t="s">
        <v>15</v>
      </c>
      <c r="N3">
        <f>_xll.qlInstGetInstrumentNPV(M1)</f>
        <v>19432.920743840266</v>
      </c>
      <c r="P3" t="s">
        <v>17</v>
      </c>
      <c r="Q3" t="s">
        <v>18</v>
      </c>
      <c r="R3">
        <v>3.5</v>
      </c>
      <c r="T3" t="s">
        <v>17</v>
      </c>
      <c r="U3" t="s">
        <v>18</v>
      </c>
      <c r="V3">
        <v>8</v>
      </c>
      <c r="W3" t="s">
        <v>20</v>
      </c>
      <c r="X3" t="s">
        <v>21</v>
      </c>
      <c r="Y3" t="s">
        <v>22</v>
      </c>
      <c r="Z3" t="s">
        <v>23</v>
      </c>
    </row>
    <row r="4" spans="1:26" x14ac:dyDescent="0.25">
      <c r="A4" s="1">
        <v>42217</v>
      </c>
      <c r="B4">
        <v>4.5</v>
      </c>
      <c r="C4">
        <v>4.3</v>
      </c>
      <c r="D4" t="s">
        <v>11</v>
      </c>
      <c r="E4" t="str">
        <f>_xll.qlCurveCommodIndex("ngidx","NG",E3)</f>
        <v>IDX@ngidx#21:45:19</v>
      </c>
      <c r="I4" s="1">
        <v>42217</v>
      </c>
      <c r="J4">
        <v>4.5</v>
      </c>
      <c r="K4">
        <f>_xll.qlCurveIRGetDiscountFactor(IR!$F$1,Commod!I4)</f>
        <v>0.85354572523753602</v>
      </c>
      <c r="M4" t="s">
        <v>15</v>
      </c>
      <c r="N4">
        <f>_xll.qlInstGetInstrumentNPV(Q1)</f>
        <v>488886.4680621443</v>
      </c>
      <c r="P4" s="1">
        <v>42186</v>
      </c>
      <c r="Q4" s="1">
        <v>42217</v>
      </c>
      <c r="R4">
        <v>1000</v>
      </c>
      <c r="T4" s="1">
        <v>42186</v>
      </c>
      <c r="U4" s="1">
        <v>42217</v>
      </c>
      <c r="V4">
        <v>1000</v>
      </c>
      <c r="W4">
        <v>1</v>
      </c>
      <c r="X4">
        <v>8</v>
      </c>
      <c r="Y4">
        <v>0</v>
      </c>
      <c r="Z4">
        <v>2</v>
      </c>
    </row>
    <row r="5" spans="1:26" x14ac:dyDescent="0.25">
      <c r="A5" s="1">
        <v>42248</v>
      </c>
      <c r="B5">
        <v>5</v>
      </c>
      <c r="C5">
        <v>4.5</v>
      </c>
      <c r="D5" t="s">
        <v>10</v>
      </c>
      <c r="E5" t="str">
        <f>_xll.qlCurveCommodForwardsCurve("cl","cl",A1:A20,C1:C20)</f>
        <v>CRV@cl#21:45:19</v>
      </c>
      <c r="I5" s="1">
        <v>42248</v>
      </c>
      <c r="J5">
        <v>5</v>
      </c>
      <c r="K5">
        <f>_xll.qlCurveIRGetDiscountFactor(IR!$F$1,Commod!I5)</f>
        <v>0.8499287642911677</v>
      </c>
      <c r="M5" t="s">
        <v>15</v>
      </c>
      <c r="N5">
        <f>_xll.qlInstGetInstrumentNPV(U1)</f>
        <v>9293879.1915259659</v>
      </c>
      <c r="P5" s="1">
        <v>42217</v>
      </c>
      <c r="Q5" s="1">
        <v>42248</v>
      </c>
      <c r="R5">
        <v>1000</v>
      </c>
      <c r="T5" s="1">
        <v>42217</v>
      </c>
      <c r="U5" s="1">
        <v>42248</v>
      </c>
      <c r="V5">
        <v>1200</v>
      </c>
      <c r="W5">
        <v>1.1000000000000001</v>
      </c>
      <c r="X5">
        <v>8.1</v>
      </c>
      <c r="Y5">
        <v>0.1</v>
      </c>
      <c r="Z5">
        <v>2.2000000000000002</v>
      </c>
    </row>
    <row r="6" spans="1:26" x14ac:dyDescent="0.25">
      <c r="A6" s="1">
        <v>42278</v>
      </c>
      <c r="B6">
        <v>5.5</v>
      </c>
      <c r="C6">
        <v>4.4000000000000004</v>
      </c>
      <c r="D6" t="s">
        <v>11</v>
      </c>
      <c r="E6" t="str">
        <f>_xll.qlCurveCommodIndex("clidx","cl",E5)</f>
        <v>IDX@clidx#21:45:19</v>
      </c>
      <c r="I6" s="1">
        <v>42278</v>
      </c>
      <c r="J6">
        <v>5.5</v>
      </c>
      <c r="K6">
        <f>_xll.qlCurveIRGetDiscountFactor(IR!$F$1,Commod!I6)</f>
        <v>0.84644307363951288</v>
      </c>
      <c r="P6" s="1">
        <v>42248</v>
      </c>
      <c r="Q6" s="1">
        <v>42278</v>
      </c>
      <c r="R6">
        <v>1000</v>
      </c>
      <c r="T6" s="1">
        <v>42248</v>
      </c>
      <c r="U6" s="1">
        <v>42278</v>
      </c>
      <c r="V6">
        <v>1300</v>
      </c>
      <c r="W6">
        <v>1.2</v>
      </c>
      <c r="X6">
        <v>8.1999999999999993</v>
      </c>
      <c r="Y6">
        <v>0.2</v>
      </c>
      <c r="Z6">
        <v>2.4</v>
      </c>
    </row>
    <row r="7" spans="1:26" x14ac:dyDescent="0.25">
      <c r="A7" s="1">
        <v>42309</v>
      </c>
      <c r="B7">
        <v>6</v>
      </c>
      <c r="C7">
        <v>4</v>
      </c>
      <c r="D7" t="s">
        <v>13</v>
      </c>
      <c r="E7" s="1">
        <v>42064</v>
      </c>
      <c r="F7">
        <f>_xll.qlCurveCommodForwardPrice($E$4,E7)</f>
        <v>22.809399206435202</v>
      </c>
      <c r="I7" s="1">
        <v>42309</v>
      </c>
      <c r="J7">
        <v>6</v>
      </c>
      <c r="K7">
        <f>_xll.qlCurveIRGetDiscountFactor(IR!$F$1,Commod!I7)</f>
        <v>0.84285621068635808</v>
      </c>
      <c r="P7" s="1">
        <v>42278</v>
      </c>
      <c r="Q7" s="1">
        <v>42309</v>
      </c>
      <c r="R7">
        <v>1000</v>
      </c>
      <c r="T7" s="1">
        <v>42278</v>
      </c>
      <c r="U7" s="1">
        <v>42309</v>
      </c>
      <c r="V7">
        <v>1400</v>
      </c>
      <c r="W7">
        <v>1.3</v>
      </c>
      <c r="X7">
        <v>8.3000000000000007</v>
      </c>
      <c r="Y7">
        <v>0.3</v>
      </c>
      <c r="Z7">
        <v>2.6</v>
      </c>
    </row>
    <row r="8" spans="1:26" x14ac:dyDescent="0.25">
      <c r="A8" s="1">
        <v>42339</v>
      </c>
      <c r="B8">
        <v>6.5</v>
      </c>
      <c r="C8">
        <v>5</v>
      </c>
      <c r="E8" s="1">
        <v>42095</v>
      </c>
      <c r="F8">
        <f>_xll.qlCurveCommodForwardPrice($E$4,E8)</f>
        <v>23.792143581817925</v>
      </c>
      <c r="I8" s="1">
        <v>42339</v>
      </c>
      <c r="J8">
        <v>6.5</v>
      </c>
      <c r="K8">
        <f>_xll.qlCurveIRGetDiscountFactor(IR!$F$1,Commod!I8)</f>
        <v>0.83939952568202258</v>
      </c>
      <c r="P8" s="1">
        <v>42309</v>
      </c>
      <c r="Q8" s="1">
        <v>42339</v>
      </c>
      <c r="R8">
        <v>1000</v>
      </c>
      <c r="T8" s="1">
        <v>42309</v>
      </c>
      <c r="U8" s="1">
        <v>42339</v>
      </c>
      <c r="V8">
        <v>1500</v>
      </c>
      <c r="W8">
        <v>1.4</v>
      </c>
      <c r="X8">
        <v>8.4</v>
      </c>
      <c r="Y8">
        <v>0.4</v>
      </c>
      <c r="Z8">
        <v>2.8</v>
      </c>
    </row>
    <row r="9" spans="1:26" x14ac:dyDescent="0.25">
      <c r="A9" s="1">
        <v>42370</v>
      </c>
      <c r="B9">
        <v>7</v>
      </c>
      <c r="C9">
        <v>5.5</v>
      </c>
      <c r="E9" s="1">
        <v>42125</v>
      </c>
      <c r="F9">
        <f>_xll.qlCurveCommodForwardPrice($E$4,E9)</f>
        <v>24.783482897727009</v>
      </c>
      <c r="I9" s="1">
        <v>42370</v>
      </c>
      <c r="J9">
        <v>7</v>
      </c>
      <c r="K9">
        <f>_xll.qlCurveIRGetDiscountFactor(IR!$F$1,Commod!I9)</f>
        <v>0.83584251026618517</v>
      </c>
      <c r="P9" s="1">
        <v>42339</v>
      </c>
      <c r="Q9" s="1">
        <v>42370</v>
      </c>
      <c r="R9">
        <v>1000</v>
      </c>
      <c r="T9" s="1">
        <v>42339</v>
      </c>
      <c r="U9" s="1">
        <v>42370</v>
      </c>
      <c r="V9">
        <v>1640</v>
      </c>
      <c r="W9">
        <v>1.5</v>
      </c>
      <c r="X9">
        <v>8.5</v>
      </c>
      <c r="Y9">
        <v>0.5</v>
      </c>
      <c r="Z9">
        <v>3</v>
      </c>
    </row>
    <row r="10" spans="1:26" x14ac:dyDescent="0.25">
      <c r="A10" s="1">
        <v>42401</v>
      </c>
      <c r="B10">
        <v>7.5</v>
      </c>
      <c r="C10">
        <v>6</v>
      </c>
      <c r="E10" s="1">
        <v>42156</v>
      </c>
      <c r="F10">
        <f>_xll.qlCurveCommodForwardPrice($E$4,E10)</f>
        <v>25.851280791029868</v>
      </c>
      <c r="I10" s="1">
        <v>42401</v>
      </c>
      <c r="J10">
        <v>7.5</v>
      </c>
      <c r="K10">
        <f>_xll.qlCurveIRGetDiscountFactor(IR!$F$1,Commod!I10)</f>
        <v>0.83230056795711205</v>
      </c>
      <c r="P10" s="1">
        <v>42370</v>
      </c>
      <c r="Q10" s="1">
        <v>42401</v>
      </c>
      <c r="R10">
        <v>1000</v>
      </c>
      <c r="T10" s="1">
        <v>42370</v>
      </c>
      <c r="U10" s="1">
        <v>42401</v>
      </c>
      <c r="V10">
        <v>1760</v>
      </c>
      <c r="W10">
        <v>1.6</v>
      </c>
      <c r="X10">
        <v>8.6</v>
      </c>
      <c r="Y10">
        <v>0.6</v>
      </c>
      <c r="Z10">
        <v>3.2</v>
      </c>
    </row>
    <row r="11" spans="1:26" x14ac:dyDescent="0.25">
      <c r="A11" s="1">
        <v>42430</v>
      </c>
      <c r="B11">
        <v>8</v>
      </c>
      <c r="C11">
        <v>7</v>
      </c>
      <c r="E11" s="1">
        <v>42186</v>
      </c>
      <c r="F11">
        <f>_xll.qlCurveCommodForwardPrice($E$4,E11)</f>
        <v>26.928417490656102</v>
      </c>
      <c r="I11" s="1">
        <v>42430</v>
      </c>
      <c r="J11">
        <v>8</v>
      </c>
      <c r="K11">
        <f>_xll.qlCurveIRGetDiscountFactor(IR!$F$1,Commod!I11)</f>
        <v>0.82900072725839224</v>
      </c>
      <c r="P11" s="1">
        <v>42401</v>
      </c>
      <c r="Q11" s="1">
        <v>42430</v>
      </c>
      <c r="R11">
        <v>1000</v>
      </c>
      <c r="T11" s="1">
        <v>42401</v>
      </c>
      <c r="U11" s="1">
        <v>42430</v>
      </c>
      <c r="V11">
        <v>1880</v>
      </c>
      <c r="W11">
        <v>1.7</v>
      </c>
      <c r="X11">
        <v>8.6999999999999993</v>
      </c>
      <c r="Y11">
        <v>0.7</v>
      </c>
      <c r="Z11">
        <v>3.4</v>
      </c>
    </row>
    <row r="12" spans="1:26" x14ac:dyDescent="0.25">
      <c r="A12" s="1">
        <v>42461</v>
      </c>
      <c r="B12">
        <v>8.5</v>
      </c>
      <c r="C12">
        <v>8</v>
      </c>
      <c r="E12" s="1">
        <v>42217</v>
      </c>
      <c r="F12">
        <f>_xll.qlCurveCommodForwardPrice($E$4,E12)</f>
        <v>28.08863002354185</v>
      </c>
      <c r="I12" s="1">
        <v>42461</v>
      </c>
      <c r="J12">
        <v>8.5</v>
      </c>
      <c r="K12">
        <f>_xll.qlCurveIRGetDiscountFactor(IR!$F$1,Commod!I12)</f>
        <v>0.82548777749325786</v>
      </c>
      <c r="P12" s="1">
        <v>42430</v>
      </c>
      <c r="Q12" s="1">
        <v>42461</v>
      </c>
      <c r="R12">
        <v>1000</v>
      </c>
      <c r="T12" s="1">
        <v>42430</v>
      </c>
      <c r="U12" s="1">
        <v>42461</v>
      </c>
      <c r="V12">
        <v>2000</v>
      </c>
      <c r="W12">
        <v>1.8</v>
      </c>
      <c r="X12">
        <v>8.8000000000000007</v>
      </c>
      <c r="Y12">
        <v>0.8</v>
      </c>
      <c r="Z12">
        <v>3.6</v>
      </c>
    </row>
    <row r="13" spans="1:26" x14ac:dyDescent="0.25">
      <c r="A13" s="1">
        <v>42491</v>
      </c>
      <c r="B13">
        <v>9</v>
      </c>
      <c r="C13">
        <v>7.5</v>
      </c>
      <c r="E13" s="1">
        <v>42248</v>
      </c>
      <c r="F13">
        <f>_xll.qlCurveCommodForwardPrice($E$4,E13)</f>
        <v>29.298830385156567</v>
      </c>
      <c r="I13" s="1">
        <v>42491</v>
      </c>
      <c r="J13">
        <v>9</v>
      </c>
      <c r="K13">
        <f>_xll.qlCurveIRGetDiscountFactor(IR!$F$1,Commod!I13)</f>
        <v>0.82210232314701825</v>
      </c>
      <c r="P13" s="1">
        <v>42461</v>
      </c>
      <c r="Q13" s="1">
        <v>42491</v>
      </c>
      <c r="R13">
        <v>1000</v>
      </c>
      <c r="T13" s="1">
        <v>42461</v>
      </c>
      <c r="U13" s="1">
        <v>42491</v>
      </c>
      <c r="V13">
        <v>2120</v>
      </c>
      <c r="W13">
        <v>1.9</v>
      </c>
      <c r="X13">
        <v>8.9</v>
      </c>
      <c r="Y13">
        <v>0.9</v>
      </c>
      <c r="Z13">
        <v>3.8</v>
      </c>
    </row>
    <row r="14" spans="1:26" x14ac:dyDescent="0.25">
      <c r="A14" s="1">
        <v>42522</v>
      </c>
      <c r="B14">
        <v>9.5</v>
      </c>
      <c r="C14">
        <v>7</v>
      </c>
      <c r="E14" s="1">
        <v>42278</v>
      </c>
      <c r="F14">
        <f>_xll.qlCurveCommodForwardPrice($E$4,E14)</f>
        <v>30.519614984538094</v>
      </c>
      <c r="I14" s="1">
        <v>42522</v>
      </c>
      <c r="J14">
        <v>9.5</v>
      </c>
      <c r="K14">
        <f>_xll.qlCurveIRGetDiscountFactor(IR!$F$1,Commod!I14)</f>
        <v>0.81861860586179147</v>
      </c>
      <c r="P14" s="1">
        <v>42491</v>
      </c>
      <c r="Q14" s="1">
        <v>42522</v>
      </c>
      <c r="R14">
        <v>1000</v>
      </c>
      <c r="T14" s="1">
        <v>42491</v>
      </c>
      <c r="U14" s="1">
        <v>42522</v>
      </c>
      <c r="V14">
        <v>2240</v>
      </c>
      <c r="W14">
        <v>2</v>
      </c>
      <c r="X14">
        <v>9</v>
      </c>
      <c r="Y14">
        <v>1</v>
      </c>
      <c r="Z14">
        <v>4</v>
      </c>
    </row>
    <row r="15" spans="1:26" x14ac:dyDescent="0.25">
      <c r="A15" s="1">
        <v>42552</v>
      </c>
      <c r="B15">
        <v>10</v>
      </c>
      <c r="C15">
        <v>7.5</v>
      </c>
      <c r="E15" s="1">
        <v>42309</v>
      </c>
      <c r="F15">
        <f>_xll.qlCurveCommodForwardPrice($E$4,E15)</f>
        <v>31.834554483533719</v>
      </c>
      <c r="I15" s="1">
        <v>42552</v>
      </c>
      <c r="J15">
        <v>10</v>
      </c>
      <c r="K15">
        <f>_xll.qlCurveIRGetDiscountFactor(IR!$F$1,Commod!I15)</f>
        <v>0.81526132306162302</v>
      </c>
      <c r="P15" s="1">
        <v>42522</v>
      </c>
      <c r="Q15" s="1">
        <v>42552</v>
      </c>
      <c r="R15">
        <v>1000</v>
      </c>
      <c r="T15" s="1">
        <v>42522</v>
      </c>
      <c r="U15" s="1">
        <v>42552</v>
      </c>
      <c r="V15">
        <v>2360</v>
      </c>
      <c r="W15">
        <v>2.1</v>
      </c>
      <c r="X15">
        <v>9.1</v>
      </c>
      <c r="Y15">
        <v>1.1000000000000001</v>
      </c>
      <c r="Z15">
        <v>4.2</v>
      </c>
    </row>
    <row r="16" spans="1:26" x14ac:dyDescent="0.25">
      <c r="A16" s="1">
        <v>42583</v>
      </c>
      <c r="B16">
        <v>10.5</v>
      </c>
      <c r="C16">
        <v>8</v>
      </c>
      <c r="E16" s="1">
        <v>42339</v>
      </c>
      <c r="F16">
        <f>_xll.qlCurveCommodForwardPrice($E$4,E16)</f>
        <v>33.160994253680961</v>
      </c>
      <c r="I16" s="1">
        <v>42583</v>
      </c>
      <c r="J16">
        <v>10.5</v>
      </c>
      <c r="K16">
        <f>_xll.qlCurveIRGetDiscountFactor(IR!$F$1,Commod!I16)</f>
        <v>0.81180659500264551</v>
      </c>
      <c r="P16" s="1">
        <v>42552</v>
      </c>
      <c r="Q16" s="1">
        <v>42583</v>
      </c>
      <c r="R16">
        <v>1000</v>
      </c>
      <c r="T16" s="1">
        <v>42552</v>
      </c>
      <c r="U16" s="1">
        <v>42583</v>
      </c>
      <c r="V16">
        <v>2480</v>
      </c>
      <c r="W16">
        <v>2.2000000000000002</v>
      </c>
      <c r="X16">
        <v>9.1999999999999993</v>
      </c>
      <c r="Y16">
        <v>1.2</v>
      </c>
      <c r="Z16">
        <v>4.4000000000000004</v>
      </c>
    </row>
    <row r="17" spans="1:35" x14ac:dyDescent="0.25">
      <c r="A17" s="1">
        <v>42614</v>
      </c>
      <c r="B17">
        <v>11</v>
      </c>
      <c r="C17">
        <v>9</v>
      </c>
      <c r="E17" s="1">
        <v>42370</v>
      </c>
      <c r="F17">
        <f>_xll.qlCurveCommodForwardPrice($E$4,E17)</f>
        <v>34.589737741835172</v>
      </c>
      <c r="I17" s="1">
        <v>42614</v>
      </c>
      <c r="J17">
        <v>11</v>
      </c>
      <c r="K17">
        <f>_xll.qlCurveIRGetDiscountFactor(IR!$F$1,Commod!I17)</f>
        <v>0.80836650660045506</v>
      </c>
      <c r="P17" s="1">
        <v>42583</v>
      </c>
      <c r="Q17" s="1">
        <v>42614</v>
      </c>
      <c r="R17">
        <v>1000</v>
      </c>
      <c r="T17" s="1">
        <v>42583</v>
      </c>
      <c r="U17" s="1">
        <v>42614</v>
      </c>
      <c r="V17">
        <v>2600</v>
      </c>
      <c r="W17">
        <v>2.2999999999999998</v>
      </c>
      <c r="X17">
        <v>9.3000000000000007</v>
      </c>
      <c r="Y17">
        <v>1.3</v>
      </c>
      <c r="Z17">
        <v>4.5999999999999996</v>
      </c>
    </row>
    <row r="18" spans="1:35" x14ac:dyDescent="0.25">
      <c r="A18" s="1">
        <v>42644</v>
      </c>
      <c r="B18">
        <v>11.5</v>
      </c>
      <c r="C18">
        <v>8.5</v>
      </c>
      <c r="E18" s="1">
        <v>42401</v>
      </c>
      <c r="F18">
        <f>_xll.qlCurveCommodForwardPrice($E$4,E18)</f>
        <v>36.080038731532511</v>
      </c>
      <c r="I18" s="1">
        <v>42644</v>
      </c>
      <c r="J18">
        <v>11.5</v>
      </c>
      <c r="K18">
        <f>_xll.qlCurveIRGetDiscountFactor(IR!$F$1,Commod!I18)</f>
        <v>0.80505126926110238</v>
      </c>
      <c r="P18" s="1">
        <v>42614</v>
      </c>
      <c r="Q18" s="1">
        <v>42644</v>
      </c>
      <c r="R18">
        <v>1000</v>
      </c>
      <c r="T18" s="1">
        <v>42614</v>
      </c>
      <c r="U18" s="1">
        <v>42644</v>
      </c>
      <c r="V18">
        <v>2720</v>
      </c>
      <c r="W18">
        <v>2.4</v>
      </c>
      <c r="X18">
        <v>9.4</v>
      </c>
      <c r="Y18">
        <v>1.4</v>
      </c>
      <c r="Z18">
        <v>4.8</v>
      </c>
    </row>
    <row r="19" spans="1:35" x14ac:dyDescent="0.25">
      <c r="A19" s="1">
        <v>42675</v>
      </c>
      <c r="B19">
        <v>12</v>
      </c>
      <c r="C19">
        <v>9</v>
      </c>
      <c r="E19" s="1">
        <v>42430</v>
      </c>
      <c r="F19">
        <f>_xll.qlCurveCommodForwardPrice($E$4,E19)</f>
        <v>37.532267515012116</v>
      </c>
      <c r="I19" s="1">
        <v>42675</v>
      </c>
      <c r="J19">
        <v>12</v>
      </c>
      <c r="K19">
        <f>_xll.qlCurveIRGetDiscountFactor(IR!$F$1,Commod!I19)</f>
        <v>0.80163980703401261</v>
      </c>
      <c r="P19" s="1">
        <v>42644</v>
      </c>
      <c r="Q19" s="1">
        <v>42675</v>
      </c>
      <c r="R19">
        <v>1000</v>
      </c>
      <c r="T19" s="1">
        <v>42644</v>
      </c>
      <c r="U19" s="1">
        <v>42675</v>
      </c>
      <c r="V19">
        <v>2840</v>
      </c>
      <c r="W19">
        <v>2.5</v>
      </c>
      <c r="X19">
        <v>9.4999999999999893</v>
      </c>
      <c r="Y19">
        <v>1.5</v>
      </c>
      <c r="Z19">
        <v>5</v>
      </c>
    </row>
    <row r="20" spans="1:35" x14ac:dyDescent="0.25">
      <c r="A20" s="1">
        <v>42705</v>
      </c>
      <c r="B20">
        <v>12.5</v>
      </c>
      <c r="C20">
        <v>9.5</v>
      </c>
      <c r="E20" s="1">
        <v>42461</v>
      </c>
      <c r="F20">
        <f>_xll.qlCurveCommodForwardPrice($E$4,E20)</f>
        <v>39.149347581958011</v>
      </c>
      <c r="I20" s="1">
        <v>42705</v>
      </c>
      <c r="J20">
        <v>12.5</v>
      </c>
      <c r="K20">
        <f>_xll.qlCurveIRGetDiscountFactor(IR!$F$1,Commod!I20)</f>
        <v>0.79835215694053308</v>
      </c>
      <c r="P20" s="1">
        <v>42675</v>
      </c>
      <c r="Q20" s="1">
        <v>42705</v>
      </c>
      <c r="R20">
        <v>1000</v>
      </c>
      <c r="T20" s="1">
        <v>42675</v>
      </c>
      <c r="U20" s="1">
        <v>42705</v>
      </c>
      <c r="V20">
        <v>2960</v>
      </c>
      <c r="W20">
        <v>2.6</v>
      </c>
      <c r="X20">
        <v>9.5999999999999908</v>
      </c>
      <c r="Y20">
        <v>1.6</v>
      </c>
      <c r="Z20">
        <v>5.2</v>
      </c>
    </row>
    <row r="21" spans="1:35" x14ac:dyDescent="0.25">
      <c r="I21" s="1"/>
    </row>
    <row r="24" spans="1:35" x14ac:dyDescent="0.25">
      <c r="B24" t="str">
        <f t="array" ref="B24:L25">_xll.qlInstDisplayEnergySwap(M1)</f>
        <v>PayDate</v>
      </c>
      <c r="C24" t="str">
        <v>Quantity</v>
      </c>
      <c r="D24" t="str">
        <v>PayCoeff</v>
      </c>
      <c r="E24" t="str">
        <v>RecCoeff</v>
      </c>
      <c r="F24" t="str">
        <v>PaySprd</v>
      </c>
      <c r="G24" t="str">
        <v>RecSprd</v>
      </c>
      <c r="H24" t="str">
        <v>PayDelta</v>
      </c>
      <c r="I24" t="str">
        <v>DiscountedPayDelta</v>
      </c>
      <c r="J24" t="str">
        <v>RecDelta</v>
      </c>
      <c r="K24" t="str">
        <v>DiscountedRecDelta</v>
      </c>
      <c r="L24" t="e">
        <v>#N/A</v>
      </c>
      <c r="N24" t="str">
        <f t="array" ref="N24:W42">_xll.qlInstDisplayEnergySwap(Q1)</f>
        <v>PayDate</v>
      </c>
      <c r="O24" t="str">
        <v>Quantity</v>
      </c>
      <c r="P24" t="str">
        <v>PayCoeff</v>
      </c>
      <c r="Q24" t="str">
        <v>RecCoeff</v>
      </c>
      <c r="R24" t="str">
        <v>PaySprd</v>
      </c>
      <c r="S24" t="str">
        <v>RecSprd</v>
      </c>
      <c r="T24" t="str">
        <v>PayDelta</v>
      </c>
      <c r="U24" t="str">
        <v>DiscountedPayDelta</v>
      </c>
      <c r="V24" t="str">
        <v>RecDelta</v>
      </c>
      <c r="W24" t="str">
        <v>DiscountedRecDelta</v>
      </c>
      <c r="Z24" t="str">
        <f t="array" ref="Z24:AI42">_xll.qlInstDisplayEnergySwap(U1)</f>
        <v>PayDate</v>
      </c>
      <c r="AA24" t="str">
        <v>Quantity</v>
      </c>
      <c r="AB24" t="str">
        <v>PayCoeff</v>
      </c>
      <c r="AC24" t="str">
        <v>RecCoeff</v>
      </c>
      <c r="AD24" t="str">
        <v>PaySprd</v>
      </c>
      <c r="AE24" t="str">
        <v>RecSprd</v>
      </c>
      <c r="AF24" t="str">
        <v>PayDelta</v>
      </c>
      <c r="AG24" t="str">
        <v>DiscountedPayDelta</v>
      </c>
      <c r="AH24" t="str">
        <v>RecDelta</v>
      </c>
      <c r="AI24" t="str">
        <v>DiscountedRecDelta</v>
      </c>
    </row>
    <row r="25" spans="1:35" x14ac:dyDescent="0.25">
      <c r="B25" s="1">
        <v>42675</v>
      </c>
      <c r="C25">
        <v>500</v>
      </c>
      <c r="D25">
        <v>1</v>
      </c>
      <c r="E25">
        <v>1</v>
      </c>
      <c r="F25">
        <v>0</v>
      </c>
      <c r="G25">
        <v>0</v>
      </c>
      <c r="H25">
        <v>26191.461780372581</v>
      </c>
      <c r="I25">
        <v>20996.118367556592</v>
      </c>
      <c r="J25">
        <v>-1950</v>
      </c>
      <c r="K25">
        <v>-1563.1976237163246</v>
      </c>
      <c r="L25" t="e">
        <v>#N/A</v>
      </c>
      <c r="N25" s="1">
        <v>42186</v>
      </c>
      <c r="O25">
        <v>1000</v>
      </c>
      <c r="P25">
        <v>1</v>
      </c>
      <c r="Q25">
        <v>1</v>
      </c>
      <c r="R25">
        <v>0</v>
      </c>
      <c r="S25">
        <v>0</v>
      </c>
      <c r="T25">
        <v>-3500</v>
      </c>
      <c r="U25">
        <v>-3000.1232748912007</v>
      </c>
      <c r="V25">
        <v>26928.417490656102</v>
      </c>
      <c r="W25">
        <v>23082.449162772766</v>
      </c>
      <c r="Z25" s="1">
        <v>42186</v>
      </c>
      <c r="AA25">
        <v>1000</v>
      </c>
      <c r="AB25">
        <v>1</v>
      </c>
      <c r="AC25">
        <v>8</v>
      </c>
      <c r="AD25">
        <v>0</v>
      </c>
      <c r="AE25">
        <v>2</v>
      </c>
      <c r="AF25">
        <v>-26928.417490656102</v>
      </c>
      <c r="AG25">
        <v>-23082.449162772766</v>
      </c>
      <c r="AH25">
        <v>212018.81042691672</v>
      </c>
      <c r="AI25">
        <v>181737.87653615375</v>
      </c>
    </row>
    <row r="26" spans="1:35" x14ac:dyDescent="0.25">
      <c r="N26" s="1">
        <v>42217</v>
      </c>
      <c r="O26">
        <v>1000</v>
      </c>
      <c r="P26">
        <v>1</v>
      </c>
      <c r="Q26">
        <v>1</v>
      </c>
      <c r="R26">
        <v>0</v>
      </c>
      <c r="S26">
        <v>0</v>
      </c>
      <c r="T26">
        <v>-3500</v>
      </c>
      <c r="U26">
        <v>-2987.4100383313762</v>
      </c>
      <c r="V26">
        <v>28088.630023541849</v>
      </c>
      <c r="W26">
        <v>23974.930084372856</v>
      </c>
      <c r="Z26" s="1">
        <v>42217</v>
      </c>
      <c r="AA26">
        <v>1200</v>
      </c>
      <c r="AB26">
        <v>1.1000000000000001</v>
      </c>
      <c r="AC26">
        <v>8.1</v>
      </c>
      <c r="AD26">
        <v>0.1</v>
      </c>
      <c r="AE26">
        <v>2.2000000000000002</v>
      </c>
      <c r="AF26">
        <v>-37196.991631075245</v>
      </c>
      <c r="AG26">
        <v>-31749.333198400676</v>
      </c>
      <c r="AH26">
        <v>272474.99402492266</v>
      </c>
      <c r="AI26">
        <v>232569.86638409592</v>
      </c>
    </row>
    <row r="27" spans="1:35" x14ac:dyDescent="0.25">
      <c r="N27" s="1">
        <v>42248</v>
      </c>
      <c r="O27">
        <v>1000</v>
      </c>
      <c r="P27">
        <v>1</v>
      </c>
      <c r="Q27">
        <v>1</v>
      </c>
      <c r="R27">
        <v>0</v>
      </c>
      <c r="S27">
        <v>0</v>
      </c>
      <c r="T27">
        <v>-3500</v>
      </c>
      <c r="U27">
        <v>-2974.7506750190869</v>
      </c>
      <c r="V27">
        <v>29298.830385156565</v>
      </c>
      <c r="W27">
        <v>24901.918704432635</v>
      </c>
      <c r="Z27" s="1">
        <v>42248</v>
      </c>
      <c r="AA27">
        <v>1300</v>
      </c>
      <c r="AB27">
        <v>1.2</v>
      </c>
      <c r="AC27">
        <v>8.1999999999999993</v>
      </c>
      <c r="AD27">
        <v>0.2</v>
      </c>
      <c r="AE27">
        <v>2.4</v>
      </c>
      <c r="AF27">
        <v>-45966.175400844251</v>
      </c>
      <c r="AG27">
        <v>-39067.974657630628</v>
      </c>
      <c r="AH27">
        <v>316054.18635170453</v>
      </c>
      <c r="AI27">
        <v>268623.54405495466</v>
      </c>
    </row>
    <row r="28" spans="1:35" x14ac:dyDescent="0.25">
      <c r="N28" s="1">
        <v>42278</v>
      </c>
      <c r="O28">
        <v>1000</v>
      </c>
      <c r="P28">
        <v>1</v>
      </c>
      <c r="Q28">
        <v>1</v>
      </c>
      <c r="R28">
        <v>0</v>
      </c>
      <c r="S28">
        <v>0</v>
      </c>
      <c r="T28">
        <v>-3500</v>
      </c>
      <c r="U28">
        <v>-2962.550757738295</v>
      </c>
      <c r="V28">
        <v>30519.614984538093</v>
      </c>
      <c r="W28">
        <v>25833.116713806958</v>
      </c>
      <c r="Z28" s="1">
        <v>42278</v>
      </c>
      <c r="AA28">
        <v>1400</v>
      </c>
      <c r="AB28">
        <v>1.3</v>
      </c>
      <c r="AC28">
        <v>8.3000000000000007</v>
      </c>
      <c r="AD28">
        <v>0.3</v>
      </c>
      <c r="AE28">
        <v>2.6</v>
      </c>
      <c r="AF28">
        <v>-55965.699271859325</v>
      </c>
      <c r="AG28">
        <v>-47371.778510057251</v>
      </c>
      <c r="AH28">
        <v>363706.75871758052</v>
      </c>
      <c r="AI28">
        <v>307857.06675237353</v>
      </c>
    </row>
    <row r="29" spans="1:35" x14ac:dyDescent="0.25">
      <c r="N29" s="1">
        <v>42309</v>
      </c>
      <c r="O29">
        <v>1000</v>
      </c>
      <c r="P29">
        <v>1</v>
      </c>
      <c r="Q29">
        <v>1</v>
      </c>
      <c r="R29">
        <v>0</v>
      </c>
      <c r="S29">
        <v>0</v>
      </c>
      <c r="T29">
        <v>-3500</v>
      </c>
      <c r="U29">
        <v>-2949.9967374022531</v>
      </c>
      <c r="V29">
        <v>31834.554483533717</v>
      </c>
      <c r="W29">
        <v>26831.95196087964</v>
      </c>
      <c r="Z29" s="1">
        <v>42309</v>
      </c>
      <c r="AA29">
        <v>1500</v>
      </c>
      <c r="AB29">
        <v>1.4</v>
      </c>
      <c r="AC29">
        <v>8.4</v>
      </c>
      <c r="AD29">
        <v>0.4</v>
      </c>
      <c r="AE29">
        <v>2.8</v>
      </c>
      <c r="AF29">
        <v>-67452.564415420813</v>
      </c>
      <c r="AG29">
        <v>-56852.812844259068</v>
      </c>
      <c r="AH29">
        <v>417068.02079616033</v>
      </c>
      <c r="AI29">
        <v>351528.37160671089</v>
      </c>
    </row>
    <row r="30" spans="1:35" x14ac:dyDescent="0.25">
      <c r="N30" s="1">
        <v>42339</v>
      </c>
      <c r="O30">
        <v>1000</v>
      </c>
      <c r="P30">
        <v>1</v>
      </c>
      <c r="Q30">
        <v>1</v>
      </c>
      <c r="R30">
        <v>0</v>
      </c>
      <c r="S30">
        <v>0</v>
      </c>
      <c r="T30">
        <v>-3500</v>
      </c>
      <c r="U30">
        <v>-2937.8983398870791</v>
      </c>
      <c r="V30">
        <v>33160.994253680961</v>
      </c>
      <c r="W30">
        <v>27835.322847684074</v>
      </c>
      <c r="Z30" s="1">
        <v>42339</v>
      </c>
      <c r="AA30">
        <v>1640</v>
      </c>
      <c r="AB30">
        <v>1.5</v>
      </c>
      <c r="AC30">
        <v>8.5</v>
      </c>
      <c r="AD30">
        <v>0.5</v>
      </c>
      <c r="AE30">
        <v>3</v>
      </c>
      <c r="AF30">
        <v>-82396.045864055166</v>
      </c>
      <c r="AG30">
        <v>-69163.201816362081</v>
      </c>
      <c r="AH30">
        <v>487072.66308673267</v>
      </c>
      <c r="AI30">
        <v>408848.56236768299</v>
      </c>
    </row>
    <row r="31" spans="1:35" x14ac:dyDescent="0.25">
      <c r="N31" s="1">
        <v>42370</v>
      </c>
      <c r="O31">
        <v>1000</v>
      </c>
      <c r="P31">
        <v>1</v>
      </c>
      <c r="Q31">
        <v>1</v>
      </c>
      <c r="R31">
        <v>0</v>
      </c>
      <c r="S31">
        <v>0</v>
      </c>
      <c r="T31">
        <v>-3500</v>
      </c>
      <c r="U31">
        <v>-2925.4487859316482</v>
      </c>
      <c r="V31">
        <v>34589.737741835175</v>
      </c>
      <c r="W31">
        <v>28911.573223584521</v>
      </c>
      <c r="Z31" s="1">
        <v>42370</v>
      </c>
      <c r="AA31">
        <v>1760</v>
      </c>
      <c r="AB31">
        <v>1.6</v>
      </c>
      <c r="AC31">
        <v>8.6</v>
      </c>
      <c r="AD31">
        <v>0.6</v>
      </c>
      <c r="AE31">
        <v>3.2</v>
      </c>
      <c r="AF31">
        <v>-98460.701481007854</v>
      </c>
      <c r="AG31">
        <v>-82297.639888455102</v>
      </c>
      <c r="AH31">
        <v>559232.80656890012</v>
      </c>
      <c r="AI31">
        <v>467430.55286575347</v>
      </c>
    </row>
    <row r="32" spans="1:35" x14ac:dyDescent="0.25">
      <c r="N32" s="1">
        <v>42401</v>
      </c>
      <c r="O32">
        <v>1000</v>
      </c>
      <c r="P32">
        <v>1</v>
      </c>
      <c r="Q32">
        <v>1</v>
      </c>
      <c r="R32">
        <v>0</v>
      </c>
      <c r="S32">
        <v>0</v>
      </c>
      <c r="T32">
        <v>-3500</v>
      </c>
      <c r="U32">
        <v>-2913.0519878498922</v>
      </c>
      <c r="V32">
        <v>36080.038731532513</v>
      </c>
      <c r="W32">
        <v>30029.436728169112</v>
      </c>
      <c r="Z32" s="1">
        <v>42401</v>
      </c>
      <c r="AA32">
        <v>1880</v>
      </c>
      <c r="AB32">
        <v>1.7</v>
      </c>
      <c r="AC32">
        <v>8.6999999999999993</v>
      </c>
      <c r="AD32">
        <v>0.7</v>
      </c>
      <c r="AE32">
        <v>3.4</v>
      </c>
      <c r="AF32">
        <v>-116627.80378597791</v>
      </c>
      <c r="AG32">
        <v>-97069.387330660044</v>
      </c>
      <c r="AH32">
        <v>638988.07950875838</v>
      </c>
      <c r="AI32">
        <v>531830.14149296388</v>
      </c>
    </row>
    <row r="33" spans="14:35" x14ac:dyDescent="0.25">
      <c r="N33" s="1">
        <v>42430</v>
      </c>
      <c r="O33">
        <v>1000</v>
      </c>
      <c r="P33">
        <v>1</v>
      </c>
      <c r="Q33">
        <v>1</v>
      </c>
      <c r="R33">
        <v>0</v>
      </c>
      <c r="S33">
        <v>0</v>
      </c>
      <c r="T33">
        <v>-3500</v>
      </c>
      <c r="U33">
        <v>-2901.502545404373</v>
      </c>
      <c r="V33">
        <v>37532.267515012114</v>
      </c>
      <c r="W33">
        <v>31114.277065601575</v>
      </c>
      <c r="Z33" s="1">
        <v>42430</v>
      </c>
      <c r="AA33">
        <v>2000</v>
      </c>
      <c r="AB33">
        <v>1.8</v>
      </c>
      <c r="AC33">
        <v>8.8000000000000007</v>
      </c>
      <c r="AD33">
        <v>0.8</v>
      </c>
      <c r="AE33">
        <v>3.6</v>
      </c>
      <c r="AF33">
        <v>-136716.16305404363</v>
      </c>
      <c r="AG33">
        <v>-113337.79859977911</v>
      </c>
      <c r="AH33">
        <v>724433.3160040658</v>
      </c>
      <c r="AI33">
        <v>600555.74581757921</v>
      </c>
    </row>
    <row r="34" spans="14:35" x14ac:dyDescent="0.25">
      <c r="N34" s="1">
        <v>42461</v>
      </c>
      <c r="O34">
        <v>1000</v>
      </c>
      <c r="P34">
        <v>1</v>
      </c>
      <c r="Q34">
        <v>1</v>
      </c>
      <c r="R34">
        <v>0</v>
      </c>
      <c r="S34">
        <v>0</v>
      </c>
      <c r="T34">
        <v>-3500</v>
      </c>
      <c r="U34">
        <v>-2889.2072212264025</v>
      </c>
      <c r="V34">
        <v>39149.347581958013</v>
      </c>
      <c r="W34">
        <v>32317.30792574157</v>
      </c>
      <c r="Z34" s="1">
        <v>42461</v>
      </c>
      <c r="AA34">
        <v>2120</v>
      </c>
      <c r="AB34">
        <v>1.9</v>
      </c>
      <c r="AC34">
        <v>8.9</v>
      </c>
      <c r="AD34">
        <v>0.9</v>
      </c>
      <c r="AE34">
        <v>3.8</v>
      </c>
      <c r="AF34">
        <v>-159601.5720601269</v>
      </c>
      <c r="AG34">
        <v>-131749.14700434418</v>
      </c>
      <c r="AH34">
        <v>821143.81633534702</v>
      </c>
      <c r="AI34">
        <v>677844.18394899752</v>
      </c>
    </row>
    <row r="35" spans="14:35" x14ac:dyDescent="0.25">
      <c r="N35" s="1">
        <v>42491</v>
      </c>
      <c r="O35">
        <v>1000</v>
      </c>
      <c r="P35">
        <v>1</v>
      </c>
      <c r="Q35">
        <v>1</v>
      </c>
      <c r="R35">
        <v>0</v>
      </c>
      <c r="S35">
        <v>0</v>
      </c>
      <c r="T35">
        <v>-3500</v>
      </c>
      <c r="U35">
        <v>-2877.3581310145637</v>
      </c>
      <c r="V35">
        <v>40780.570397872951</v>
      </c>
      <c r="W35">
        <v>33525.801663351878</v>
      </c>
      <c r="Z35" s="1">
        <v>42491</v>
      </c>
      <c r="AA35">
        <v>2240</v>
      </c>
      <c r="AB35">
        <v>2</v>
      </c>
      <c r="AC35">
        <v>9</v>
      </c>
      <c r="AD35">
        <v>1</v>
      </c>
      <c r="AE35">
        <v>4</v>
      </c>
      <c r="AF35">
        <v>-184936.95538247083</v>
      </c>
      <c r="AG35">
        <v>-152037.10065566574</v>
      </c>
      <c r="AH35">
        <v>925989.29465847893</v>
      </c>
      <c r="AI35">
        <v>761257.95034800435</v>
      </c>
    </row>
    <row r="36" spans="14:35" x14ac:dyDescent="0.25">
      <c r="N36" s="1">
        <v>42522</v>
      </c>
      <c r="O36">
        <v>1000</v>
      </c>
      <c r="P36">
        <v>1</v>
      </c>
      <c r="Q36">
        <v>1</v>
      </c>
      <c r="R36">
        <v>0</v>
      </c>
      <c r="S36">
        <v>0</v>
      </c>
      <c r="T36">
        <v>-3500</v>
      </c>
      <c r="U36">
        <v>-2865.1651205162702</v>
      </c>
      <c r="V36">
        <v>42537.603795407682</v>
      </c>
      <c r="W36">
        <v>34822.073915697889</v>
      </c>
      <c r="Z36" s="1">
        <v>42522</v>
      </c>
      <c r="AA36">
        <v>2360</v>
      </c>
      <c r="AB36">
        <v>2.1</v>
      </c>
      <c r="AC36">
        <v>9.1</v>
      </c>
      <c r="AD36">
        <v>1.1000000000000001</v>
      </c>
      <c r="AE36">
        <v>4.2</v>
      </c>
      <c r="AF36">
        <v>-213412.36441004049</v>
      </c>
      <c r="AG36">
        <v>-174703.33222701596</v>
      </c>
      <c r="AH36">
        <v>1042934.7264105716</v>
      </c>
      <c r="AI36">
        <v>853765.771739071</v>
      </c>
    </row>
    <row r="37" spans="14:35" x14ac:dyDescent="0.25">
      <c r="N37" s="1">
        <v>42552</v>
      </c>
      <c r="O37">
        <v>1000</v>
      </c>
      <c r="P37">
        <v>1</v>
      </c>
      <c r="Q37">
        <v>1</v>
      </c>
      <c r="R37">
        <v>0</v>
      </c>
      <c r="S37">
        <v>0</v>
      </c>
      <c r="T37">
        <v>-3500</v>
      </c>
      <c r="U37">
        <v>-2853.4146307156807</v>
      </c>
      <c r="V37">
        <v>44310.003953549698</v>
      </c>
      <c r="W37">
        <v>36124.232448036673</v>
      </c>
      <c r="Z37" s="1">
        <v>42552</v>
      </c>
      <c r="AA37">
        <v>2480</v>
      </c>
      <c r="AB37">
        <v>2.2000000000000002</v>
      </c>
      <c r="AC37">
        <v>9.1999999999999993</v>
      </c>
      <c r="AD37">
        <v>1.2</v>
      </c>
      <c r="AE37">
        <v>4.4000000000000004</v>
      </c>
      <c r="AF37">
        <v>-244731.38157056714</v>
      </c>
      <c r="AG37">
        <v>-199520.02993391946</v>
      </c>
      <c r="AH37">
        <v>1169361.4422453193</v>
      </c>
      <c r="AI37">
        <v>953335.1565421666</v>
      </c>
    </row>
    <row r="38" spans="14:35" x14ac:dyDescent="0.25">
      <c r="N38" s="1">
        <v>42583</v>
      </c>
      <c r="O38">
        <v>1000</v>
      </c>
      <c r="P38">
        <v>1</v>
      </c>
      <c r="Q38">
        <v>1</v>
      </c>
      <c r="R38">
        <v>0</v>
      </c>
      <c r="S38">
        <v>0</v>
      </c>
      <c r="T38">
        <v>-3500</v>
      </c>
      <c r="U38">
        <v>-2841.3230825092592</v>
      </c>
      <c r="V38">
        <v>46219.103214097151</v>
      </c>
      <c r="W38">
        <v>37520.972804312034</v>
      </c>
      <c r="Z38" s="1">
        <v>42583</v>
      </c>
      <c r="AA38">
        <v>2600</v>
      </c>
      <c r="AB38">
        <v>2.2999999999999998</v>
      </c>
      <c r="AC38">
        <v>9.3000000000000007</v>
      </c>
      <c r="AD38">
        <v>1.3</v>
      </c>
      <c r="AE38">
        <v>4.5999999999999996</v>
      </c>
      <c r="AF38">
        <v>-279770.23722030094</v>
      </c>
      <c r="AG38">
        <v>-227119.32366089491</v>
      </c>
      <c r="AH38">
        <v>1310208.0298117572</v>
      </c>
      <c r="AI38">
        <v>1063635.5194266073</v>
      </c>
    </row>
    <row r="39" spans="14:35" x14ac:dyDescent="0.25">
      <c r="N39" s="1">
        <v>42614</v>
      </c>
      <c r="O39">
        <v>1000</v>
      </c>
      <c r="P39">
        <v>1</v>
      </c>
      <c r="Q39">
        <v>1</v>
      </c>
      <c r="R39">
        <v>0</v>
      </c>
      <c r="S39">
        <v>0</v>
      </c>
      <c r="T39">
        <v>-3500</v>
      </c>
      <c r="U39">
        <v>-2829.2827731015927</v>
      </c>
      <c r="V39">
        <v>48210.456134347383</v>
      </c>
      <c r="W39">
        <v>38971.71800693687</v>
      </c>
      <c r="Z39" s="1">
        <v>42614</v>
      </c>
      <c r="AA39">
        <v>2720</v>
      </c>
      <c r="AB39">
        <v>2.4</v>
      </c>
      <c r="AC39">
        <v>9.4</v>
      </c>
      <c r="AD39">
        <v>1.4</v>
      </c>
      <c r="AE39">
        <v>4.8</v>
      </c>
      <c r="AF39">
        <v>-318525.85764501971</v>
      </c>
      <c r="AG39">
        <v>-257485.63480641844</v>
      </c>
      <c r="AH39">
        <v>1464706.0464980151</v>
      </c>
      <c r="AI39">
        <v>1184019.3100041642</v>
      </c>
    </row>
    <row r="40" spans="14:35" x14ac:dyDescent="0.25">
      <c r="N40" s="1">
        <v>42644</v>
      </c>
      <c r="O40">
        <v>1000</v>
      </c>
      <c r="P40">
        <v>1</v>
      </c>
      <c r="Q40">
        <v>1</v>
      </c>
      <c r="R40">
        <v>0</v>
      </c>
      <c r="S40">
        <v>0</v>
      </c>
      <c r="T40">
        <v>-3500</v>
      </c>
      <c r="U40">
        <v>-2817.6794424138584</v>
      </c>
      <c r="V40">
        <v>50219.225139945171</v>
      </c>
      <c r="W40">
        <v>40429.050940221918</v>
      </c>
      <c r="Z40" s="1">
        <v>42644</v>
      </c>
      <c r="AA40">
        <v>2840</v>
      </c>
      <c r="AB40">
        <v>2.5</v>
      </c>
      <c r="AC40">
        <v>9.4999999999999893</v>
      </c>
      <c r="AD40">
        <v>1.5</v>
      </c>
      <c r="AE40">
        <v>5</v>
      </c>
      <c r="AF40">
        <v>-360816.49849361071</v>
      </c>
      <c r="AG40">
        <v>-290475.78008262796</v>
      </c>
      <c r="AH40">
        <v>1631118.8196091722</v>
      </c>
      <c r="AI40">
        <v>1313134.2760420351</v>
      </c>
    </row>
    <row r="41" spans="14:35" x14ac:dyDescent="0.25">
      <c r="N41" s="1">
        <v>42675</v>
      </c>
      <c r="O41">
        <v>1000</v>
      </c>
      <c r="P41">
        <v>1</v>
      </c>
      <c r="Q41">
        <v>1</v>
      </c>
      <c r="R41">
        <v>0</v>
      </c>
      <c r="S41">
        <v>0</v>
      </c>
      <c r="T41">
        <v>-3500</v>
      </c>
      <c r="U41">
        <v>-2805.7393246190441</v>
      </c>
      <c r="V41">
        <v>52382.923560745163</v>
      </c>
      <c r="W41">
        <v>41992.236735113183</v>
      </c>
      <c r="Z41" s="1">
        <v>42675</v>
      </c>
      <c r="AA41">
        <v>2960</v>
      </c>
      <c r="AB41">
        <v>2.6</v>
      </c>
      <c r="AC41">
        <v>9.5999999999999908</v>
      </c>
      <c r="AD41">
        <v>1.6</v>
      </c>
      <c r="AE41">
        <v>5.2</v>
      </c>
      <c r="AF41">
        <v>-407874.97972349479</v>
      </c>
      <c r="AG41">
        <v>-326968.8200395442</v>
      </c>
      <c r="AH41">
        <v>1816223.2304834689</v>
      </c>
      <c r="AI41">
        <v>1455956.8400154589</v>
      </c>
    </row>
    <row r="42" spans="14:35" x14ac:dyDescent="0.25">
      <c r="N42" t="e">
        <v>#N/A</v>
      </c>
      <c r="O42" t="e">
        <v>#N/A</v>
      </c>
      <c r="P42" t="e">
        <v>#N/A</v>
      </c>
      <c r="Q42" t="e">
        <v>#N/A</v>
      </c>
      <c r="R42" t="e">
        <v>#N/A</v>
      </c>
      <c r="S42" t="e">
        <v>#N/A</v>
      </c>
      <c r="T42" t="e">
        <v>#N/A</v>
      </c>
      <c r="U42" t="e">
        <v>#N/A</v>
      </c>
      <c r="V42" t="e">
        <v>#N/A</v>
      </c>
      <c r="W42" t="e">
        <v>#N/A</v>
      </c>
      <c r="Z42" t="e">
        <v>#N/A</v>
      </c>
      <c r="AA42" t="e">
        <v>#N/A</v>
      </c>
      <c r="AB42" t="e">
        <v>#N/A</v>
      </c>
      <c r="AC42" t="e">
        <v>#N/A</v>
      </c>
      <c r="AD42" t="e">
        <v>#N/A</v>
      </c>
      <c r="AE42" t="e">
        <v>#N/A</v>
      </c>
      <c r="AF42" t="e">
        <v>#N/A</v>
      </c>
      <c r="AG42" t="e">
        <v>#N/A</v>
      </c>
      <c r="AH42" t="e">
        <v>#N/A</v>
      </c>
      <c r="AI42" t="e">
        <v>#N/A</v>
      </c>
    </row>
    <row r="43" spans="14:35" x14ac:dyDescent="0.25">
      <c r="AG43">
        <f>SUM(AG25:AG41)</f>
        <v>-2320051.5444188076</v>
      </c>
      <c r="AI43">
        <f>SUM(AI25:AI41)</f>
        <v>11613930.735944774</v>
      </c>
    </row>
  </sheetData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0"/>
  <sheetViews>
    <sheetView tabSelected="1" workbookViewId="0">
      <selection activeCell="H6" sqref="H6"/>
    </sheetView>
  </sheetViews>
  <sheetFormatPr defaultRowHeight="15" x14ac:dyDescent="0.25"/>
  <cols>
    <col min="1" max="1" width="14.28515625" customWidth="1"/>
    <col min="2" max="2" width="13.28515625" customWidth="1"/>
    <col min="5" max="5" width="11.42578125" customWidth="1"/>
  </cols>
  <sheetData>
    <row r="1" spans="1:10" x14ac:dyDescent="0.25">
      <c r="A1" t="s">
        <v>24</v>
      </c>
      <c r="B1" s="1">
        <v>41061</v>
      </c>
      <c r="E1" s="1">
        <f>_xll.qlTimeSetEvaluationDate(B1)</f>
        <v>41061</v>
      </c>
      <c r="H1" t="s">
        <v>36</v>
      </c>
    </row>
    <row r="2" spans="1:10" x14ac:dyDescent="0.25">
      <c r="A2" t="s">
        <v>25</v>
      </c>
      <c r="B2" s="1">
        <v>41152</v>
      </c>
      <c r="H2" t="s">
        <v>37</v>
      </c>
      <c r="I2" s="4">
        <v>2.1669999999999998</v>
      </c>
      <c r="J2">
        <f>E5/I2-1</f>
        <v>-9.40173292553248E-4</v>
      </c>
    </row>
    <row r="3" spans="1:10" x14ac:dyDescent="0.25">
      <c r="A3" t="s">
        <v>26</v>
      </c>
      <c r="B3">
        <v>28</v>
      </c>
      <c r="C3">
        <v>119.7</v>
      </c>
      <c r="D3" t="s">
        <v>35</v>
      </c>
      <c r="E3" t="str">
        <f>_xll.qlInstSpreadOptionKirk(SPO1,B10,B3,B5,B9,B2,B8,B4,B6,B7)</f>
        <v>OPTION@#21:45:19</v>
      </c>
      <c r="H3" t="str">
        <f>_xll.qlInstSpreadOptionMonteCarlo("smc",B10,B3,B5,B9,B2,B8,B4,B6,B7)</f>
        <v>#QL_ERR!</v>
      </c>
    </row>
    <row r="4" spans="1:10" x14ac:dyDescent="0.25">
      <c r="A4" t="s">
        <v>27</v>
      </c>
      <c r="B4">
        <v>0.28999999999999998</v>
      </c>
    </row>
    <row r="5" spans="1:10" x14ac:dyDescent="0.25">
      <c r="A5" t="s">
        <v>28</v>
      </c>
      <c r="B5">
        <v>20</v>
      </c>
      <c r="C5">
        <v>93.2</v>
      </c>
      <c r="D5" t="s">
        <v>15</v>
      </c>
      <c r="E5">
        <f>_xll.qlInstGetOptionGreeks(E3,"NPV","MULTIASSET")</f>
        <v>2.1649626444750369</v>
      </c>
      <c r="H5" t="b">
        <f>IF(FALSE,_xll.qlInstGetOptionGreeks(H3,"NPV","MULTIASSET"))</f>
        <v>0</v>
      </c>
    </row>
    <row r="6" spans="1:10" x14ac:dyDescent="0.25">
      <c r="A6" t="s">
        <v>29</v>
      </c>
      <c r="B6">
        <v>0.36</v>
      </c>
    </row>
    <row r="7" spans="1:10" x14ac:dyDescent="0.25">
      <c r="A7" t="s">
        <v>30</v>
      </c>
      <c r="B7">
        <v>0.42</v>
      </c>
    </row>
    <row r="8" spans="1:10" x14ac:dyDescent="0.25">
      <c r="A8" t="s">
        <v>31</v>
      </c>
      <c r="B8">
        <v>0.05</v>
      </c>
    </row>
    <row r="9" spans="1:10" x14ac:dyDescent="0.25">
      <c r="A9" t="s">
        <v>32</v>
      </c>
      <c r="B9">
        <v>7</v>
      </c>
    </row>
    <row r="10" spans="1:10" x14ac:dyDescent="0.25">
      <c r="A10" t="s">
        <v>33</v>
      </c>
      <c r="B10" t="s">
        <v>34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Index</vt:lpstr>
      <vt:lpstr>IR</vt:lpstr>
      <vt:lpstr>Commod</vt:lpstr>
      <vt:lpstr>Spread</vt:lpstr>
    </vt:vector>
  </TitlesOfParts>
  <Company>Exelon Corp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Wang, Letian:(Constellation)</dc:creator>
  <cp:lastModifiedBy>Letian</cp:lastModifiedBy>
  <dcterms:created xsi:type="dcterms:W3CDTF">2015-03-17T19:56:41Z</dcterms:created>
  <dcterms:modified xsi:type="dcterms:W3CDTF">2016-01-08T02:45:52Z</dcterms:modified>
</cp:coreProperties>
</file>