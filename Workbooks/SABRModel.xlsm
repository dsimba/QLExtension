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Letian\QLExtension\Output\Release\Workbooks\"/>
    </mc:Choice>
  </mc:AlternateContent>
  <bookViews>
    <workbookView xWindow="0" yWindow="240" windowWidth="11655" windowHeight="4410" activeTab="1"/>
  </bookViews>
  <sheets>
    <sheet name="Model" sheetId="5" r:id="rId1"/>
    <sheet name="SABR" sheetId="3" r:id="rId2"/>
    <sheet name="Data" sheetId="6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3" l="1"/>
  <c r="F40" i="5"/>
  <c r="F39" i="5"/>
  <c r="F38" i="5"/>
  <c r="F37" i="5"/>
  <c r="F36" i="5"/>
  <c r="F35" i="5"/>
  <c r="F26" i="5"/>
  <c r="F23" i="5"/>
  <c r="F33" i="5"/>
  <c r="F34" i="5"/>
  <c r="X2" i="5" l="1"/>
  <c r="F29" i="5"/>
  <c r="F28" i="5"/>
  <c r="F32" i="5"/>
  <c r="F30" i="5"/>
  <c r="F27" i="5"/>
  <c r="F25" i="5"/>
  <c r="F24" i="5"/>
  <c r="F22" i="5"/>
  <c r="F17" i="5"/>
  <c r="F16" i="5"/>
  <c r="F15" i="5"/>
  <c r="F20" i="5"/>
  <c r="F19" i="5"/>
  <c r="F18" i="5"/>
  <c r="F14" i="5"/>
  <c r="F13" i="5"/>
  <c r="F12" i="5"/>
  <c r="F10" i="5"/>
  <c r="F9" i="5"/>
  <c r="F8" i="5"/>
  <c r="F7" i="5"/>
  <c r="F6" i="5"/>
  <c r="F5" i="5"/>
  <c r="F4" i="5"/>
  <c r="F3" i="5"/>
  <c r="F2" i="5"/>
  <c r="K10" i="3"/>
  <c r="K21" i="3"/>
  <c r="K20" i="3"/>
  <c r="K16" i="3"/>
  <c r="K8" i="3"/>
  <c r="K15" i="3"/>
  <c r="Y2" i="5"/>
  <c r="K17" i="3"/>
  <c r="K11" i="3"/>
  <c r="K6" i="3"/>
  <c r="K14" i="3"/>
  <c r="K5" i="3"/>
  <c r="K19" i="3"/>
  <c r="K9" i="3"/>
  <c r="K4" i="3"/>
  <c r="K7" i="3"/>
  <c r="K18" i="3"/>
  <c r="O1" i="3" l="1"/>
  <c r="A34" i="6"/>
  <c r="B34" i="6"/>
  <c r="C34" i="6"/>
  <c r="D34" i="6"/>
  <c r="E34" i="6"/>
  <c r="F34" i="6"/>
  <c r="G34" i="6"/>
  <c r="A35" i="6"/>
  <c r="B35" i="6"/>
  <c r="C35" i="6"/>
  <c r="D35" i="6"/>
  <c r="E35" i="6"/>
  <c r="F35" i="6"/>
  <c r="G35" i="6"/>
  <c r="A36" i="6"/>
  <c r="B36" i="6"/>
  <c r="C36" i="6"/>
  <c r="D36" i="6"/>
  <c r="E36" i="6"/>
  <c r="F36" i="6"/>
  <c r="G36" i="6"/>
  <c r="A37" i="6"/>
  <c r="B37" i="6"/>
  <c r="C37" i="6"/>
  <c r="D37" i="6"/>
  <c r="E37" i="6"/>
  <c r="F37" i="6"/>
  <c r="G37" i="6"/>
  <c r="A38" i="6"/>
  <c r="B38" i="6"/>
  <c r="C38" i="6"/>
  <c r="D38" i="6"/>
  <c r="E38" i="6"/>
  <c r="F38" i="6"/>
  <c r="G38" i="6"/>
  <c r="A39" i="6"/>
  <c r="B39" i="6"/>
  <c r="C39" i="6"/>
  <c r="D39" i="6"/>
  <c r="E39" i="6"/>
  <c r="F39" i="6"/>
  <c r="G39" i="6"/>
  <c r="A40" i="6"/>
  <c r="B40" i="6"/>
  <c r="C40" i="6"/>
  <c r="D40" i="6"/>
  <c r="E40" i="6"/>
  <c r="F40" i="6"/>
  <c r="G40" i="6"/>
  <c r="B33" i="6"/>
  <c r="C33" i="6"/>
  <c r="D33" i="6"/>
  <c r="E33" i="6"/>
  <c r="F33" i="6"/>
  <c r="G33" i="6"/>
  <c r="A26" i="6"/>
  <c r="B26" i="6"/>
  <c r="C26" i="6"/>
  <c r="D26" i="6"/>
  <c r="E26" i="6"/>
  <c r="F26" i="6"/>
  <c r="G26" i="6"/>
  <c r="A27" i="6"/>
  <c r="B27" i="6"/>
  <c r="C27" i="6"/>
  <c r="D27" i="6"/>
  <c r="E27" i="6"/>
  <c r="F27" i="6"/>
  <c r="G27" i="6"/>
  <c r="A28" i="6"/>
  <c r="B28" i="6"/>
  <c r="C28" i="6"/>
  <c r="D28" i="6"/>
  <c r="E28" i="6"/>
  <c r="F28" i="6"/>
  <c r="G28" i="6"/>
  <c r="A29" i="6"/>
  <c r="B29" i="6"/>
  <c r="C29" i="6"/>
  <c r="D29" i="6"/>
  <c r="E29" i="6"/>
  <c r="F29" i="6"/>
  <c r="G29" i="6"/>
  <c r="A30" i="6"/>
  <c r="B30" i="6"/>
  <c r="C30" i="6"/>
  <c r="D30" i="6"/>
  <c r="E30" i="6"/>
  <c r="F30" i="6"/>
  <c r="G30" i="6"/>
  <c r="A31" i="6"/>
  <c r="B31" i="6"/>
  <c r="C31" i="6"/>
  <c r="D31" i="6"/>
  <c r="E31" i="6"/>
  <c r="F31" i="6"/>
  <c r="G31" i="6"/>
  <c r="A32" i="6"/>
  <c r="B32" i="6"/>
  <c r="C32" i="6"/>
  <c r="D32" i="6"/>
  <c r="E32" i="6"/>
  <c r="F32" i="6"/>
  <c r="G32" i="6"/>
  <c r="B25" i="6"/>
  <c r="C25" i="6"/>
  <c r="D25" i="6"/>
  <c r="E25" i="6"/>
  <c r="F25" i="6"/>
  <c r="G25" i="6"/>
  <c r="A33" i="6"/>
  <c r="A25" i="6"/>
  <c r="A18" i="6"/>
  <c r="B18" i="6"/>
  <c r="C18" i="6"/>
  <c r="D18" i="6"/>
  <c r="E18" i="6"/>
  <c r="F18" i="6"/>
  <c r="G18" i="6"/>
  <c r="A19" i="6"/>
  <c r="B19" i="6"/>
  <c r="C19" i="6"/>
  <c r="D19" i="6"/>
  <c r="E19" i="6"/>
  <c r="F19" i="6"/>
  <c r="G19" i="6"/>
  <c r="A20" i="6"/>
  <c r="B20" i="6"/>
  <c r="C20" i="6"/>
  <c r="D20" i="6"/>
  <c r="E20" i="6"/>
  <c r="F20" i="6"/>
  <c r="G20" i="6"/>
  <c r="A21" i="6"/>
  <c r="B21" i="6"/>
  <c r="C21" i="6"/>
  <c r="D21" i="6"/>
  <c r="E21" i="6"/>
  <c r="F21" i="6"/>
  <c r="G21" i="6"/>
  <c r="A22" i="6"/>
  <c r="B22" i="6"/>
  <c r="C22" i="6"/>
  <c r="D22" i="6"/>
  <c r="E22" i="6"/>
  <c r="F22" i="6"/>
  <c r="G22" i="6"/>
  <c r="A23" i="6"/>
  <c r="B23" i="6"/>
  <c r="C23" i="6"/>
  <c r="D23" i="6"/>
  <c r="E23" i="6"/>
  <c r="F23" i="6"/>
  <c r="G23" i="6"/>
  <c r="A24" i="6"/>
  <c r="B24" i="6"/>
  <c r="C24" i="6"/>
  <c r="D24" i="6"/>
  <c r="E24" i="6"/>
  <c r="F24" i="6"/>
  <c r="G24" i="6"/>
  <c r="B17" i="6"/>
  <c r="C17" i="6"/>
  <c r="D17" i="6"/>
  <c r="E17" i="6"/>
  <c r="F17" i="6"/>
  <c r="G17" i="6"/>
  <c r="A10" i="6"/>
  <c r="B10" i="6"/>
  <c r="C10" i="6"/>
  <c r="D10" i="6"/>
  <c r="E10" i="6"/>
  <c r="F10" i="6"/>
  <c r="G10" i="6"/>
  <c r="A11" i="6"/>
  <c r="B11" i="6"/>
  <c r="C11" i="6"/>
  <c r="D11" i="6"/>
  <c r="E11" i="6"/>
  <c r="F11" i="6"/>
  <c r="G11" i="6"/>
  <c r="A12" i="6"/>
  <c r="B12" i="6"/>
  <c r="C12" i="6"/>
  <c r="D12" i="6"/>
  <c r="E12" i="6"/>
  <c r="F12" i="6"/>
  <c r="G12" i="6"/>
  <c r="A13" i="6"/>
  <c r="B13" i="6"/>
  <c r="C13" i="6"/>
  <c r="D13" i="6"/>
  <c r="E13" i="6"/>
  <c r="F13" i="6"/>
  <c r="G13" i="6"/>
  <c r="A14" i="6"/>
  <c r="B14" i="6"/>
  <c r="C14" i="6"/>
  <c r="D14" i="6"/>
  <c r="E14" i="6"/>
  <c r="F14" i="6"/>
  <c r="G14" i="6"/>
  <c r="A15" i="6"/>
  <c r="B15" i="6"/>
  <c r="C15" i="6"/>
  <c r="D15" i="6"/>
  <c r="E15" i="6"/>
  <c r="F15" i="6"/>
  <c r="G15" i="6"/>
  <c r="A16" i="6"/>
  <c r="B16" i="6"/>
  <c r="C16" i="6"/>
  <c r="D16" i="6"/>
  <c r="E16" i="6"/>
  <c r="F16" i="6"/>
  <c r="G16" i="6"/>
  <c r="B9" i="6"/>
  <c r="C9" i="6"/>
  <c r="D9" i="6"/>
  <c r="E9" i="6"/>
  <c r="F9" i="6"/>
  <c r="G9" i="6"/>
  <c r="A17" i="6"/>
  <c r="A9" i="6"/>
  <c r="U4" i="3" l="1" a="1"/>
  <c r="V4" i="3" s="1"/>
  <c r="AE24" i="3" s="1"/>
  <c r="W5" i="3" l="1"/>
  <c r="AF25" i="3" s="1"/>
  <c r="Z8" i="3"/>
  <c r="X5" i="3"/>
  <c r="AG25" i="3" s="1"/>
  <c r="X9" i="3"/>
  <c r="AA6" i="3"/>
  <c r="AJ26" i="3" s="1"/>
  <c r="Y9" i="3"/>
  <c r="U4" i="3"/>
  <c r="AD24" i="3" s="1"/>
  <c r="Z10" i="3"/>
  <c r="Y7" i="3"/>
  <c r="AH27" i="3" s="1"/>
  <c r="AA5" i="3"/>
  <c r="AJ25" i="3" s="1"/>
  <c r="X10" i="3"/>
  <c r="Y6" i="3"/>
  <c r="AH26" i="3" s="1"/>
  <c r="U10" i="3"/>
  <c r="V9" i="3"/>
  <c r="AA10" i="3"/>
  <c r="X8" i="3"/>
  <c r="U9" i="3"/>
  <c r="U11" i="3"/>
  <c r="Z11" i="3"/>
  <c r="X11" i="3"/>
  <c r="Y5" i="3"/>
  <c r="AH25" i="3" s="1"/>
  <c r="X4" i="3"/>
  <c r="AG24" i="3" s="1"/>
  <c r="W11" i="3"/>
  <c r="V7" i="3"/>
  <c r="AE27" i="3" s="1"/>
  <c r="V8" i="3"/>
  <c r="W4" i="3"/>
  <c r="AF24" i="3" s="1"/>
  <c r="AA8" i="3"/>
  <c r="Y4" i="3"/>
  <c r="AH24" i="3" s="1"/>
  <c r="U5" i="3"/>
  <c r="AD25" i="3" s="1"/>
  <c r="AA11" i="3"/>
  <c r="Y8" i="3"/>
  <c r="X6" i="3"/>
  <c r="AG26" i="3" s="1"/>
  <c r="AA9" i="3"/>
  <c r="AA4" i="3"/>
  <c r="AJ24" i="3" s="1"/>
  <c r="Z7" i="3"/>
  <c r="AI27" i="3" s="1"/>
  <c r="V11" i="3"/>
  <c r="U8" i="3"/>
  <c r="W6" i="3"/>
  <c r="AF26" i="3" s="1"/>
  <c r="Z9" i="3"/>
  <c r="V10" i="3"/>
  <c r="V5" i="3"/>
  <c r="AE25" i="3" s="1"/>
  <c r="Z4" i="3"/>
  <c r="AI24" i="3" s="1"/>
  <c r="U7" i="3"/>
  <c r="AD27" i="3" s="1"/>
  <c r="W9" i="3"/>
  <c r="Y11" i="3"/>
  <c r="U6" i="3"/>
  <c r="AD26" i="3" s="1"/>
  <c r="W8" i="3"/>
  <c r="Y10" i="3"/>
  <c r="Z5" i="3"/>
  <c r="AI25" i="3" s="1"/>
  <c r="W10" i="3"/>
  <c r="AA7" i="3"/>
  <c r="AJ27" i="3" s="1"/>
  <c r="X7" i="3"/>
  <c r="AG27" i="3" s="1"/>
  <c r="V6" i="3"/>
  <c r="AE26" i="3" s="1"/>
  <c r="Z6" i="3"/>
  <c r="AI26" i="3" s="1"/>
  <c r="W7" i="3"/>
  <c r="AF27" i="3" s="1"/>
  <c r="E33" i="5"/>
  <c r="E34" i="5"/>
  <c r="E35" i="5"/>
  <c r="E36" i="5"/>
  <c r="E37" i="5"/>
  <c r="E38" i="5"/>
  <c r="E39" i="5"/>
  <c r="E40" i="5"/>
  <c r="E32" i="5"/>
  <c r="D40" i="5"/>
  <c r="D39" i="5"/>
  <c r="D38" i="5"/>
  <c r="D37" i="5"/>
  <c r="D36" i="5"/>
  <c r="D35" i="5"/>
  <c r="D34" i="5"/>
  <c r="D33" i="5"/>
  <c r="D32" i="5"/>
  <c r="C40" i="5"/>
  <c r="B40" i="5"/>
  <c r="C39" i="5"/>
  <c r="B39" i="5"/>
  <c r="C38" i="5"/>
  <c r="B38" i="5"/>
  <c r="C37" i="5"/>
  <c r="B37" i="5"/>
  <c r="C36" i="5"/>
  <c r="B36" i="5"/>
  <c r="C35" i="5"/>
  <c r="B35" i="5"/>
  <c r="C34" i="5"/>
  <c r="B34" i="5"/>
  <c r="C33" i="5"/>
  <c r="B33" i="5"/>
  <c r="C32" i="5"/>
  <c r="B32" i="5"/>
  <c r="E30" i="5"/>
  <c r="E29" i="5"/>
  <c r="E28" i="5"/>
  <c r="E27" i="5"/>
  <c r="E26" i="5"/>
  <c r="E25" i="5"/>
  <c r="E24" i="5"/>
  <c r="E23" i="5"/>
  <c r="E22" i="5"/>
  <c r="D23" i="5"/>
  <c r="D24" i="5"/>
  <c r="D25" i="5"/>
  <c r="D26" i="5"/>
  <c r="D27" i="5"/>
  <c r="D28" i="5"/>
  <c r="D29" i="5"/>
  <c r="D30" i="5"/>
  <c r="D22" i="5"/>
  <c r="C30" i="5"/>
  <c r="C29" i="5"/>
  <c r="C28" i="5"/>
  <c r="C27" i="5"/>
  <c r="C26" i="5"/>
  <c r="C25" i="5"/>
  <c r="C24" i="5"/>
  <c r="C23" i="5"/>
  <c r="C22" i="5"/>
  <c r="B30" i="5"/>
  <c r="B29" i="5"/>
  <c r="B28" i="5"/>
  <c r="B27" i="5"/>
  <c r="B26" i="5"/>
  <c r="B25" i="5"/>
  <c r="B24" i="5"/>
  <c r="B23" i="5"/>
  <c r="B22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B13" i="5"/>
  <c r="B14" i="5"/>
  <c r="B15" i="5"/>
  <c r="B16" i="5"/>
  <c r="B17" i="5"/>
  <c r="B18" i="5"/>
  <c r="B19" i="5"/>
  <c r="B20" i="5"/>
  <c r="B12" i="5"/>
  <c r="E3" i="5"/>
  <c r="E4" i="5"/>
  <c r="E5" i="5"/>
  <c r="E6" i="5"/>
  <c r="E7" i="5"/>
  <c r="E8" i="5"/>
  <c r="E9" i="5"/>
  <c r="E10" i="5"/>
  <c r="E2" i="5"/>
  <c r="D3" i="5"/>
  <c r="D4" i="5"/>
  <c r="D5" i="5"/>
  <c r="D6" i="5"/>
  <c r="D7" i="5"/>
  <c r="D8" i="5"/>
  <c r="D9" i="5"/>
  <c r="D10" i="5"/>
  <c r="D2" i="5"/>
  <c r="C3" i="5"/>
  <c r="C4" i="5"/>
  <c r="C5" i="5"/>
  <c r="C6" i="5"/>
  <c r="C7" i="5"/>
  <c r="C8" i="5"/>
  <c r="C9" i="5"/>
  <c r="C10" i="5"/>
  <c r="C2" i="5"/>
  <c r="U24" i="3" l="1"/>
  <c r="B3" i="5"/>
  <c r="B4" i="5"/>
  <c r="B5" i="5"/>
  <c r="B6" i="5"/>
  <c r="B7" i="5"/>
  <c r="B8" i="5"/>
  <c r="B9" i="5"/>
  <c r="B10" i="5"/>
  <c r="B2" i="5"/>
  <c r="C15" i="5"/>
  <c r="C16" i="5"/>
  <c r="C17" i="5"/>
  <c r="C18" i="5"/>
  <c r="C19" i="5"/>
  <c r="C20" i="5"/>
  <c r="C13" i="5"/>
  <c r="C12" i="5"/>
  <c r="C14" i="5"/>
  <c r="J22" i="5"/>
  <c r="L22" i="5"/>
  <c r="G22" i="5"/>
  <c r="K22" i="5"/>
  <c r="M22" i="5"/>
  <c r="I22" i="5"/>
  <c r="H22" i="5"/>
  <c r="I29" i="5"/>
  <c r="K29" i="5"/>
  <c r="L29" i="5"/>
  <c r="M29" i="5"/>
  <c r="H29" i="5"/>
  <c r="J29" i="5"/>
  <c r="G29" i="5"/>
  <c r="G3" i="5"/>
  <c r="M3" i="5"/>
  <c r="J3" i="5"/>
  <c r="K3" i="5"/>
  <c r="H3" i="5"/>
  <c r="L3" i="5"/>
  <c r="I3" i="5"/>
  <c r="M16" i="5"/>
  <c r="L16" i="5"/>
  <c r="J16" i="5"/>
  <c r="G16" i="5"/>
  <c r="H16" i="5"/>
  <c r="I16" i="5"/>
  <c r="K16" i="5"/>
  <c r="K8" i="5"/>
  <c r="I8" i="5"/>
  <c r="M8" i="5"/>
  <c r="H8" i="5"/>
  <c r="G8" i="5"/>
  <c r="J8" i="5"/>
  <c r="L8" i="5"/>
  <c r="I27" i="5"/>
  <c r="J27" i="5"/>
  <c r="K27" i="5"/>
  <c r="M27" i="5"/>
  <c r="G27" i="5"/>
  <c r="H27" i="5"/>
  <c r="L27" i="5"/>
  <c r="M28" i="5"/>
  <c r="I28" i="5"/>
  <c r="H28" i="5"/>
  <c r="J28" i="5"/>
  <c r="K28" i="5"/>
  <c r="G28" i="5"/>
  <c r="L28" i="5"/>
  <c r="J5" i="5"/>
  <c r="G5" i="5"/>
  <c r="I5" i="5"/>
  <c r="L5" i="5"/>
  <c r="K5" i="5"/>
  <c r="M5" i="5"/>
  <c r="H5" i="5"/>
  <c r="M12" i="5"/>
  <c r="I12" i="5"/>
  <c r="K12" i="5"/>
  <c r="J12" i="5"/>
  <c r="L12" i="5"/>
  <c r="H12" i="5"/>
  <c r="G12" i="5"/>
  <c r="K24" i="5"/>
  <c r="I24" i="5"/>
  <c r="G24" i="5"/>
  <c r="M24" i="5"/>
  <c r="L24" i="5"/>
  <c r="H24" i="5"/>
  <c r="J24" i="5"/>
  <c r="G40" i="5"/>
  <c r="I40" i="5"/>
  <c r="K40" i="5"/>
  <c r="M40" i="5"/>
  <c r="L40" i="5"/>
  <c r="J40" i="5"/>
  <c r="H40" i="5"/>
  <c r="M32" i="5"/>
  <c r="H32" i="5"/>
  <c r="L32" i="5"/>
  <c r="K32" i="5"/>
  <c r="J32" i="5"/>
  <c r="G32" i="5"/>
  <c r="I32" i="5"/>
  <c r="J17" i="5"/>
  <c r="L17" i="5"/>
  <c r="G17" i="5"/>
  <c r="H17" i="5"/>
  <c r="I17" i="5"/>
  <c r="M17" i="5"/>
  <c r="K17" i="5"/>
  <c r="H13" i="5"/>
  <c r="K13" i="5"/>
  <c r="J13" i="5"/>
  <c r="L13" i="5"/>
  <c r="I13" i="5"/>
  <c r="M13" i="5"/>
  <c r="G13" i="5"/>
  <c r="J18" i="5"/>
  <c r="H18" i="5"/>
  <c r="L18" i="5"/>
  <c r="G18" i="5"/>
  <c r="I18" i="5"/>
  <c r="K18" i="5"/>
  <c r="M18" i="5"/>
  <c r="J34" i="5"/>
  <c r="L34" i="5"/>
  <c r="M34" i="5"/>
  <c r="G34" i="5"/>
  <c r="H34" i="5"/>
  <c r="I34" i="5"/>
  <c r="K34" i="5"/>
  <c r="L25" i="5"/>
  <c r="I25" i="5"/>
  <c r="K25" i="5"/>
  <c r="M25" i="5"/>
  <c r="G25" i="5"/>
  <c r="H25" i="5"/>
  <c r="J25" i="5"/>
  <c r="G4" i="5"/>
  <c r="I4" i="5"/>
  <c r="J4" i="5"/>
  <c r="L4" i="5"/>
  <c r="K4" i="5"/>
  <c r="M4" i="5"/>
  <c r="H4" i="5"/>
  <c r="L20" i="5"/>
  <c r="G20" i="5"/>
  <c r="J20" i="5"/>
  <c r="I20" i="5"/>
  <c r="K20" i="5"/>
  <c r="H20" i="5"/>
  <c r="M20" i="5"/>
  <c r="G9" i="5"/>
  <c r="J9" i="5"/>
  <c r="K9" i="5"/>
  <c r="M9" i="5"/>
  <c r="H9" i="5"/>
  <c r="I9" i="5"/>
  <c r="L9" i="5"/>
  <c r="I10" i="5"/>
  <c r="K10" i="5"/>
  <c r="G10" i="5"/>
  <c r="M10" i="5"/>
  <c r="H10" i="5"/>
  <c r="J10" i="5"/>
  <c r="L10" i="5"/>
  <c r="H37" i="5"/>
  <c r="J37" i="5"/>
  <c r="G37" i="5"/>
  <c r="L37" i="5"/>
  <c r="K37" i="5"/>
  <c r="I37" i="5"/>
  <c r="M37" i="5"/>
  <c r="M14" i="5"/>
  <c r="H14" i="5"/>
  <c r="L14" i="5"/>
  <c r="J14" i="5"/>
  <c r="K14" i="5"/>
  <c r="G14" i="5"/>
  <c r="I14" i="5"/>
  <c r="M30" i="5"/>
  <c r="H30" i="5"/>
  <c r="J30" i="5"/>
  <c r="L30" i="5"/>
  <c r="K30" i="5"/>
  <c r="I30" i="5"/>
  <c r="G30" i="5"/>
  <c r="L19" i="5"/>
  <c r="K19" i="5"/>
  <c r="H19" i="5"/>
  <c r="J19" i="5"/>
  <c r="G19" i="5"/>
  <c r="I19" i="5"/>
  <c r="M19" i="5"/>
  <c r="L39" i="5"/>
  <c r="M39" i="5"/>
  <c r="G39" i="5"/>
  <c r="I39" i="5"/>
  <c r="K39" i="5"/>
  <c r="J39" i="5"/>
  <c r="H39" i="5"/>
  <c r="M33" i="5"/>
  <c r="H33" i="5"/>
  <c r="J33" i="5"/>
  <c r="L33" i="5"/>
  <c r="G33" i="5"/>
  <c r="K33" i="5"/>
  <c r="I33" i="5"/>
  <c r="L36" i="5"/>
  <c r="H36" i="5"/>
  <c r="G36" i="5"/>
  <c r="I36" i="5"/>
  <c r="J36" i="5"/>
  <c r="K36" i="5"/>
  <c r="M36" i="5"/>
  <c r="G26" i="5"/>
  <c r="M26" i="5"/>
  <c r="K26" i="5"/>
  <c r="H26" i="5"/>
  <c r="I26" i="5"/>
  <c r="J26" i="5"/>
  <c r="L26" i="5"/>
  <c r="K6" i="5"/>
  <c r="I6" i="5"/>
  <c r="M6" i="5"/>
  <c r="L6" i="5"/>
  <c r="G6" i="5"/>
  <c r="H6" i="5"/>
  <c r="J6" i="5"/>
  <c r="G23" i="5"/>
  <c r="I23" i="5"/>
  <c r="J23" i="5"/>
  <c r="K23" i="5"/>
  <c r="M23" i="5"/>
  <c r="L23" i="5"/>
  <c r="H23" i="5"/>
  <c r="J38" i="5"/>
  <c r="G38" i="5"/>
  <c r="L38" i="5"/>
  <c r="H38" i="5"/>
  <c r="I38" i="5"/>
  <c r="AB3" i="5" a="1"/>
  <c r="K38" i="5"/>
  <c r="M38" i="5"/>
  <c r="K2" i="5"/>
  <c r="L2" i="5"/>
  <c r="I2" i="5"/>
  <c r="M2" i="5"/>
  <c r="H2" i="5"/>
  <c r="G2" i="5"/>
  <c r="J2" i="5"/>
  <c r="L7" i="5"/>
  <c r="G7" i="5"/>
  <c r="I7" i="5"/>
  <c r="K7" i="5"/>
  <c r="M7" i="5"/>
  <c r="H7" i="5"/>
  <c r="J7" i="5"/>
  <c r="H35" i="5"/>
  <c r="M35" i="5"/>
  <c r="J35" i="5"/>
  <c r="L35" i="5"/>
  <c r="I35" i="5"/>
  <c r="G35" i="5"/>
  <c r="K35" i="5"/>
  <c r="K15" i="5"/>
  <c r="H15" i="5"/>
  <c r="J15" i="5"/>
  <c r="L15" i="5"/>
  <c r="M15" i="5"/>
  <c r="G15" i="5"/>
  <c r="I15" i="5"/>
  <c r="AC8" i="5" l="1"/>
  <c r="AB6" i="5"/>
  <c r="AC5" i="5"/>
  <c r="AB7" i="5"/>
  <c r="AB8" i="5"/>
  <c r="AB9" i="5"/>
  <c r="AC6" i="5"/>
  <c r="AB4" i="5"/>
  <c r="AC3" i="5"/>
  <c r="AB5" i="5"/>
  <c r="AC7" i="5"/>
  <c r="AC4" i="5"/>
  <c r="AC9" i="5"/>
  <c r="AB3" i="5"/>
  <c r="AF4" i="3"/>
  <c r="Y14" i="3"/>
  <c r="AA14" i="3"/>
  <c r="V14" i="3"/>
  <c r="Z14" i="3"/>
  <c r="X14" i="3"/>
  <c r="AG4" i="3" a="1"/>
  <c r="U14" i="3"/>
  <c r="W14" i="3"/>
  <c r="AG8" i="3"/>
  <c r="AG5" i="3"/>
  <c r="AG7" i="3"/>
  <c r="AH8" i="3"/>
  <c r="AG9" i="3"/>
  <c r="AH7" i="3"/>
  <c r="AE14" i="3" s="1"/>
  <c r="AG6" i="3"/>
  <c r="AH6" i="3"/>
  <c r="AD14" i="3" s="1"/>
  <c r="AH4" i="3"/>
  <c r="AB14" i="3" s="1"/>
  <c r="AH5" i="3"/>
  <c r="AC14" i="3" s="1"/>
  <c r="AG4" i="3"/>
  <c r="AH9" i="3"/>
  <c r="AF5" i="3"/>
  <c r="X15" i="3"/>
  <c r="Z15" i="3"/>
  <c r="U15" i="3"/>
  <c r="AI4" i="3" a="1"/>
  <c r="W15" i="3"/>
  <c r="Y15" i="3"/>
  <c r="AA15" i="3"/>
  <c r="V15" i="3"/>
  <c r="AI5" i="3"/>
  <c r="AJ5" i="3"/>
  <c r="AI9" i="3"/>
  <c r="AJ9" i="3"/>
  <c r="AJ6" i="3"/>
  <c r="AJ8" i="3"/>
  <c r="AI8" i="3"/>
  <c r="AJ4" i="3"/>
  <c r="AB15" i="3" s="1"/>
  <c r="AI7" i="3"/>
  <c r="AJ7" i="3"/>
  <c r="AE15" i="3" s="1"/>
  <c r="AI6" i="3"/>
  <c r="AI4" i="3"/>
  <c r="AD15" i="3"/>
  <c r="AC15" i="3"/>
  <c r="AF6" i="3"/>
  <c r="V16" i="3"/>
  <c r="AA16" i="3"/>
  <c r="Z16" i="3"/>
  <c r="X16" i="3"/>
  <c r="Y16" i="3"/>
  <c r="U16" i="3"/>
  <c r="AK4" i="3" a="1"/>
  <c r="W16" i="3"/>
  <c r="AL5" i="3"/>
  <c r="AK9" i="3"/>
  <c r="AK8" i="3"/>
  <c r="AL8" i="3"/>
  <c r="AL6" i="3"/>
  <c r="AD16" i="3" s="1"/>
  <c r="AL9" i="3"/>
  <c r="AK6" i="3"/>
  <c r="AK4" i="3"/>
  <c r="AK7" i="3"/>
  <c r="AK5" i="3"/>
  <c r="AL7" i="3"/>
  <c r="AE16" i="3" s="1"/>
  <c r="AL4" i="3"/>
  <c r="AB16" i="3" s="1"/>
  <c r="AC16" i="3"/>
  <c r="AF7" i="3"/>
  <c r="X17" i="3"/>
  <c r="U17" i="3"/>
  <c r="W17" i="3"/>
  <c r="AM4" i="3" a="1"/>
  <c r="Y17" i="3"/>
  <c r="AA17" i="3"/>
  <c r="Z17" i="3"/>
  <c r="V17" i="3"/>
  <c r="AM4" i="3"/>
  <c r="AN9" i="3"/>
  <c r="AM8" i="3"/>
  <c r="AN8" i="3"/>
  <c r="AN7" i="3"/>
  <c r="AN6" i="3"/>
  <c r="AM5" i="3"/>
  <c r="AM6" i="3"/>
  <c r="AM9" i="3"/>
  <c r="AM7" i="3"/>
  <c r="AN5" i="3"/>
  <c r="AC17" i="3" s="1"/>
  <c r="AN4" i="3"/>
  <c r="AB17" i="3" s="1"/>
  <c r="AE17" i="3"/>
  <c r="AD17" i="3"/>
  <c r="AF8" i="3"/>
  <c r="Y18" i="3"/>
  <c r="X18" i="3"/>
  <c r="V18" i="3"/>
  <c r="AG10" i="3" a="1"/>
  <c r="Z18" i="3"/>
  <c r="AA18" i="3"/>
  <c r="U18" i="3"/>
  <c r="W18" i="3"/>
  <c r="AG12" i="3"/>
  <c r="AG10" i="3"/>
  <c r="AG13" i="3"/>
  <c r="AG15" i="3"/>
  <c r="AG14" i="3"/>
  <c r="AH12" i="3"/>
  <c r="AD18" i="3" s="1"/>
  <c r="AH15" i="3"/>
  <c r="AH13" i="3"/>
  <c r="AE18" i="3" s="1"/>
  <c r="AG11" i="3"/>
  <c r="AH10" i="3"/>
  <c r="AB18" i="3" s="1"/>
  <c r="AH11" i="3"/>
  <c r="AC18" i="3" s="1"/>
  <c r="AH14" i="3"/>
  <c r="AF9" i="3"/>
  <c r="U19" i="3"/>
  <c r="W19" i="3"/>
  <c r="Z19" i="3"/>
  <c r="X19" i="3"/>
  <c r="Y19" i="3"/>
  <c r="AA19" i="3"/>
  <c r="AI10" i="3" a="1"/>
  <c r="V19" i="3"/>
  <c r="AI15" i="3"/>
  <c r="AI13" i="3"/>
  <c r="AJ11" i="3"/>
  <c r="AC19" i="3" s="1"/>
  <c r="AJ12" i="3"/>
  <c r="AD19" i="3" s="1"/>
  <c r="AJ10" i="3"/>
  <c r="AI11" i="3"/>
  <c r="AI10" i="3"/>
  <c r="AJ15" i="3"/>
  <c r="AI14" i="3"/>
  <c r="AI12" i="3"/>
  <c r="AJ14" i="3"/>
  <c r="AJ13" i="3"/>
  <c r="AE19" i="3" s="1"/>
  <c r="AB19" i="3"/>
  <c r="AF10" i="3"/>
  <c r="AA20" i="3"/>
  <c r="V20" i="3"/>
  <c r="Y20" i="3"/>
  <c r="AK10" i="3" a="1"/>
  <c r="Z20" i="3"/>
  <c r="X20" i="3"/>
  <c r="U20" i="3"/>
  <c r="W20" i="3"/>
  <c r="AK11" i="3"/>
  <c r="AL13" i="3"/>
  <c r="AE20" i="3" s="1"/>
  <c r="AK14" i="3"/>
  <c r="AK15" i="3"/>
  <c r="AL14" i="3"/>
  <c r="AL12" i="3"/>
  <c r="AD20" i="3" s="1"/>
  <c r="AK13" i="3"/>
  <c r="AK12" i="3"/>
  <c r="AK10" i="3"/>
  <c r="AL10" i="3"/>
  <c r="AB20" i="3" s="1"/>
  <c r="AL11" i="3"/>
  <c r="AC20" i="3" s="1"/>
  <c r="AL15" i="3"/>
  <c r="AF11" i="3"/>
  <c r="X21" i="3"/>
  <c r="Z21" i="3"/>
  <c r="U21" i="3"/>
  <c r="W21" i="3"/>
  <c r="AM10" i="3" a="1"/>
  <c r="Y21" i="3"/>
  <c r="AA21" i="3"/>
  <c r="V21" i="3"/>
  <c r="AM13" i="3"/>
  <c r="AN15" i="3"/>
  <c r="AN12" i="3"/>
  <c r="AD21" i="3" s="1"/>
  <c r="AM14" i="3"/>
  <c r="AM12" i="3"/>
  <c r="AN14" i="3"/>
  <c r="AN13" i="3"/>
  <c r="AE21" i="3" s="1"/>
  <c r="AN11" i="3"/>
  <c r="AC21" i="3" s="1"/>
  <c r="AM10" i="3"/>
  <c r="AM11" i="3"/>
  <c r="AN10" i="3"/>
  <c r="AB21" i="3" s="1"/>
  <c r="AM15" i="3"/>
</calcChain>
</file>

<file path=xl/sharedStrings.xml><?xml version="1.0" encoding="utf-8"?>
<sst xmlns="http://schemas.openxmlformats.org/spreadsheetml/2006/main" count="69" uniqueCount="37">
  <si>
    <t>Strike</t>
  </si>
  <si>
    <t>Rho</t>
  </si>
  <si>
    <t>Maturity</t>
  </si>
  <si>
    <t>Alpha</t>
  </si>
  <si>
    <t>Beta</t>
  </si>
  <si>
    <t>alpha</t>
  </si>
  <si>
    <t>beta</t>
  </si>
  <si>
    <t>rho</t>
  </si>
  <si>
    <t>F0</t>
  </si>
  <si>
    <t>ATMVol</t>
  </si>
  <si>
    <t>nu</t>
  </si>
  <si>
    <t>Initial</t>
  </si>
  <si>
    <t>isFixed</t>
  </si>
  <si>
    <t>today</t>
  </si>
  <si>
    <t>Calibration</t>
  </si>
  <si>
    <t>Market Vol</t>
  </si>
  <si>
    <t>Parameters</t>
  </si>
  <si>
    <t>Calibrated</t>
  </si>
  <si>
    <t>ExerciseDate</t>
  </si>
  <si>
    <t>Tenor</t>
  </si>
  <si>
    <t>ATM0</t>
  </si>
  <si>
    <t>Index</t>
  </si>
  <si>
    <t>3Mx10Y</t>
  </si>
  <si>
    <t>1Yx10Y</t>
  </si>
  <si>
    <t>2Yx10Y</t>
  </si>
  <si>
    <t>3Yx10Y</t>
  </si>
  <si>
    <t>4Yx10Y</t>
  </si>
  <si>
    <t>5Yx10Y</t>
  </si>
  <si>
    <t>7Yx10Y</t>
  </si>
  <si>
    <t>10Yx10Y</t>
  </si>
  <si>
    <t>Strikes</t>
  </si>
  <si>
    <t>Volatilities</t>
  </si>
  <si>
    <t>Nu</t>
  </si>
  <si>
    <t>Initial Guess</t>
  </si>
  <si>
    <t>Time</t>
  </si>
  <si>
    <t>Overwrite</t>
  </si>
  <si>
    <t>Risk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</si>
</sst>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[$-F400]h:mm:ss\ AM/PM"/>
    <numFmt numFmtId="167" formatCode="[$-409]h:mm:ss\ AM/PM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2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0" xfId="0" applyNumberFormat="1"/>
    <xf numFmtId="0" fontId="0" fillId="2" borderId="3" xfId="0" applyFill="1" applyBorder="1"/>
    <xf numFmtId="0" fontId="0" fillId="2" borderId="15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1" xfId="0" applyFill="1" applyBorder="1"/>
    <xf numFmtId="0" fontId="0" fillId="2" borderId="14" xfId="0" applyFill="1" applyBorder="1"/>
    <xf numFmtId="0" fontId="0" fillId="2" borderId="4" xfId="0" applyFill="1" applyBorder="1"/>
    <xf numFmtId="0" fontId="0" fillId="5" borderId="15" xfId="0" applyFill="1" applyBorder="1"/>
    <xf numFmtId="0" fontId="0" fillId="5" borderId="13" xfId="0" applyFill="1" applyBorder="1"/>
    <xf numFmtId="0" fontId="0" fillId="5" borderId="6" xfId="0" applyFill="1" applyBorder="1"/>
    <xf numFmtId="14" fontId="0" fillId="2" borderId="14" xfId="0" applyNumberFormat="1" applyFill="1" applyBorder="1"/>
    <xf numFmtId="0" fontId="0" fillId="2" borderId="8" xfId="0" applyFill="1" applyBorder="1"/>
    <xf numFmtId="14" fontId="0" fillId="2" borderId="0" xfId="0" applyNumberFormat="1" applyFill="1" applyBorder="1"/>
    <xf numFmtId="164" fontId="0" fillId="2" borderId="10" xfId="0" applyNumberFormat="1" applyFill="1" applyBorder="1"/>
    <xf numFmtId="0" fontId="0" fillId="2" borderId="10" xfId="0" applyFill="1" applyBorder="1"/>
    <xf numFmtId="0" fontId="0" fillId="2" borderId="12" xfId="0" applyFill="1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Fill="1"/>
    <xf numFmtId="165" fontId="0" fillId="0" borderId="8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9" xfId="0" applyNumberForma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165" fontId="0" fillId="0" borderId="10" xfId="0" applyNumberFormat="1" applyFill="1" applyBorder="1" applyAlignment="1">
      <alignment horizontal="center" vertical="center"/>
    </xf>
    <xf numFmtId="165" fontId="0" fillId="0" borderId="11" xfId="0" applyNumberForma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0" fillId="5" borderId="3" xfId="0" applyFill="1" applyBorder="1"/>
    <xf numFmtId="0" fontId="0" fillId="5" borderId="12" xfId="0" applyFill="1" applyBorder="1"/>
    <xf numFmtId="0" fontId="0" fillId="5" borderId="10" xfId="0" applyFill="1" applyBorder="1"/>
    <xf numFmtId="2" fontId="0" fillId="5" borderId="0" xfId="0" applyNumberFormat="1" applyFill="1" applyBorder="1" applyAlignment="1">
      <alignment horizontal="left" vertical="center"/>
    </xf>
    <xf numFmtId="2" fontId="0" fillId="5" borderId="15" xfId="0" applyNumberFormat="1" applyFill="1" applyBorder="1" applyAlignment="1">
      <alignment horizontal="left" vertical="center"/>
    </xf>
    <xf numFmtId="0" fontId="0" fillId="0" borderId="0" xfId="0" applyBorder="1"/>
    <xf numFmtId="0" fontId="0" fillId="0" borderId="10" xfId="0" applyBorder="1"/>
    <xf numFmtId="0" fontId="0" fillId="0" borderId="15" xfId="0" applyBorder="1"/>
    <xf numFmtId="0" fontId="0" fillId="0" borderId="12" xfId="0" applyBorder="1"/>
    <xf numFmtId="0" fontId="3" fillId="2" borderId="7" xfId="0" applyFont="1" applyFill="1" applyBorder="1" applyAlignment="1">
      <alignment horizontal="center" vertical="center"/>
    </xf>
    <xf numFmtId="0" fontId="3" fillId="2" borderId="14" xfId="0" applyFont="1" applyFill="1" applyBorder="1"/>
    <xf numFmtId="0" fontId="3" fillId="2" borderId="14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0" fontId="0" fillId="2" borderId="14" xfId="0" applyFont="1" applyFill="1" applyBorder="1"/>
    <xf numFmtId="0" fontId="0" fillId="2" borderId="14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166" fontId="4" fillId="3" borderId="0" xfId="0" applyNumberFormat="1" applyFont="1" applyFill="1"/>
    <xf numFmtId="14" fontId="4" fillId="3" borderId="0" xfId="0" applyNumberFormat="1" applyFont="1" applyFill="1"/>
    <xf numFmtId="165" fontId="0" fillId="4" borderId="9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10" xfId="0" applyNumberFormat="1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2" xfId="0" applyNumberFormat="1" applyFill="1" applyBorder="1" applyAlignment="1">
      <alignment horizontal="center" vertical="center"/>
    </xf>
    <xf numFmtId="0" fontId="0" fillId="6" borderId="7" xfId="0" applyFill="1" applyBorder="1"/>
    <xf numFmtId="0" fontId="1" fillId="6" borderId="9" xfId="0" applyFont="1" applyFill="1" applyBorder="1"/>
    <xf numFmtId="0" fontId="1" fillId="6" borderId="11" xfId="0" applyFont="1" applyFill="1" applyBorder="1"/>
    <xf numFmtId="167" fontId="0" fillId="0" borderId="0" xfId="0" applyNumberFormat="1"/>
    <xf numFmtId="0" fontId="2" fillId="0" borderId="0" xfId="0" applyFont="1"/>
    <xf numFmtId="0" fontId="1" fillId="6" borderId="5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0" fillId="0" borderId="15" xfId="0" applyBorder="1" applyAlignment="1"/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3" xfId="0" applyBorder="1" applyAlignment="1"/>
    <xf numFmtId="0" fontId="0" fillId="0" borderId="6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86ae291308140698fb94369058bb1a8">
      <tp>
        <v>42376.904233321759</v>
        <stp/>
        <stp>3</stp>
        <stp>NOW</stp>
        <tr r="L1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Alpha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Model!$A$2</c:f>
              <c:strCache>
                <c:ptCount val="1"/>
                <c:pt idx="0">
                  <c:v>0.01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Model!$G$2:$M$2</c:f>
              <c:numCache>
                <c:formatCode>General</c:formatCode>
                <c:ptCount val="7"/>
                <c:pt idx="0">
                  <c:v>0.15619862495185194</c:v>
                </c:pt>
                <c:pt idx="1">
                  <c:v>0.11247490054929696</c:v>
                </c:pt>
                <c:pt idx="2">
                  <c:v>7.512923175483012E-2</c:v>
                </c:pt>
                <c:pt idx="3">
                  <c:v>5.5906477631085222E-2</c:v>
                </c:pt>
                <c:pt idx="4">
                  <c:v>7.994401926707792E-2</c:v>
                </c:pt>
                <c:pt idx="5">
                  <c:v>0.1045226434933622</c:v>
                </c:pt>
                <c:pt idx="6">
                  <c:v>0.12509996982754221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Model!$A$3</c:f>
              <c:strCache>
                <c:ptCount val="1"/>
                <c:pt idx="0">
                  <c:v>0.02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Model!$G$3:$M$3</c:f>
              <c:numCache>
                <c:formatCode>General</c:formatCode>
                <c:ptCount val="7"/>
                <c:pt idx="0">
                  <c:v>0.2084943854566767</c:v>
                </c:pt>
                <c:pt idx="1">
                  <c:v>0.15997211292485006</c:v>
                </c:pt>
                <c:pt idx="2">
                  <c:v>0.12332747956342899</c:v>
                </c:pt>
                <c:pt idx="3">
                  <c:v>0.11193541977993662</c:v>
                </c:pt>
                <c:pt idx="4">
                  <c:v>0.13028003492674184</c:v>
                </c:pt>
                <c:pt idx="5">
                  <c:v>0.15351744571178907</c:v>
                </c:pt>
                <c:pt idx="6">
                  <c:v>0.17458916223283225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Model!$A$4</c:f>
              <c:strCache>
                <c:ptCount val="1"/>
                <c:pt idx="0">
                  <c:v>0.03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Model!$G$4:$M$4</c:f>
              <c:numCache>
                <c:formatCode>General</c:formatCode>
                <c:ptCount val="7"/>
                <c:pt idx="0">
                  <c:v>0.25859421718892622</c:v>
                </c:pt>
                <c:pt idx="1">
                  <c:v>0.20891777772709974</c:v>
                </c:pt>
                <c:pt idx="2">
                  <c:v>0.17595483469513495</c:v>
                </c:pt>
                <c:pt idx="3">
                  <c:v>0.16809637149090823</c:v>
                </c:pt>
                <c:pt idx="4">
                  <c:v>0.18205304702399039</c:v>
                </c:pt>
                <c:pt idx="5">
                  <c:v>0.20221831742500562</c:v>
                </c:pt>
                <c:pt idx="6">
                  <c:v>0.22198279188214948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Model!$A$5</c:f>
              <c:strCache>
                <c:ptCount val="1"/>
                <c:pt idx="0">
                  <c:v>0.04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Model!$G$5:$M$5</c:f>
              <c:numCache>
                <c:formatCode>General</c:formatCode>
                <c:ptCount val="7"/>
                <c:pt idx="0">
                  <c:v>0.30975936847675628</c:v>
                </c:pt>
                <c:pt idx="1">
                  <c:v>0.26063038531284921</c:v>
                </c:pt>
                <c:pt idx="2">
                  <c:v>0.23110840953695397</c:v>
                </c:pt>
                <c:pt idx="3">
                  <c:v>0.22439887780835396</c:v>
                </c:pt>
                <c:pt idx="4">
                  <c:v>0.23484313290765627</c:v>
                </c:pt>
                <c:pt idx="5">
                  <c:v>0.25172236523102015</c:v>
                </c:pt>
                <c:pt idx="6">
                  <c:v>0.26945187693172024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Model!$A$6</c:f>
              <c:strCache>
                <c:ptCount val="1"/>
                <c:pt idx="0">
                  <c:v>0.05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Model!$G$6:$M$6</c:f>
              <c:numCache>
                <c:formatCode>General</c:formatCode>
                <c:ptCount val="7"/>
                <c:pt idx="0">
                  <c:v>0.36280535668217861</c:v>
                </c:pt>
                <c:pt idx="1">
                  <c:v>0.31480264912234474</c:v>
                </c:pt>
                <c:pt idx="2">
                  <c:v>0.28765639672726739</c:v>
                </c:pt>
                <c:pt idx="3">
                  <c:v>0.28085248377662797</c:v>
                </c:pt>
                <c:pt idx="4">
                  <c:v>0.28829180633349172</c:v>
                </c:pt>
                <c:pt idx="5">
                  <c:v>0.30204404905876808</c:v>
                </c:pt>
                <c:pt idx="6">
                  <c:v>0.31747069993339211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Model!$A$7</c:f>
              <c:strCache>
                <c:ptCount val="1"/>
                <c:pt idx="0">
                  <c:v>0.06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Model!$G$7:$M$7</c:f>
              <c:numCache>
                <c:formatCode>General</c:formatCode>
                <c:ptCount val="7"/>
                <c:pt idx="0">
                  <c:v>0.41783176930537019</c:v>
                </c:pt>
                <c:pt idx="1">
                  <c:v>0.37089482142026031</c:v>
                </c:pt>
                <c:pt idx="2">
                  <c:v>0.34505987279864098</c:v>
                </c:pt>
                <c:pt idx="3">
                  <c:v>0.33746673444008418</c:v>
                </c:pt>
                <c:pt idx="4">
                  <c:v>0.34220510477892435</c:v>
                </c:pt>
                <c:pt idx="5">
                  <c:v>0.35305114223600875</c:v>
                </c:pt>
                <c:pt idx="6">
                  <c:v>0.36611379322189669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Model!$A$8</c:f>
              <c:strCache>
                <c:ptCount val="1"/>
                <c:pt idx="0">
                  <c:v>0.07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Model!$G$8:$M$8</c:f>
              <c:numCache>
                <c:formatCode>General</c:formatCode>
                <c:ptCount val="7"/>
                <c:pt idx="0">
                  <c:v>0.47468678179192136</c:v>
                </c:pt>
                <c:pt idx="1">
                  <c:v>0.42844722999864743</c:v>
                </c:pt>
                <c:pt idx="2">
                  <c:v>0.40305505735161529</c:v>
                </c:pt>
                <c:pt idx="3">
                  <c:v>0.39425117484307676</c:v>
                </c:pt>
                <c:pt idx="4">
                  <c:v>0.39647910758890359</c:v>
                </c:pt>
                <c:pt idx="5">
                  <c:v>0.40461962092611697</c:v>
                </c:pt>
                <c:pt idx="6">
                  <c:v>0.41534597181676169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658112"/>
        <c:axId val="357665560"/>
      </c:lineChart>
      <c:catAx>
        <c:axId val="3576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57665560"/>
        <c:crosses val="autoZero"/>
        <c:auto val="1"/>
        <c:lblAlgn val="ctr"/>
        <c:lblOffset val="100"/>
        <c:noMultiLvlLbl val="0"/>
      </c:catAx>
      <c:valAx>
        <c:axId val="357665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crossAx val="35765811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Beta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Model!$A$14</c:f>
              <c:strCache>
                <c:ptCount val="1"/>
                <c:pt idx="0">
                  <c:v>0.3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Model!$G$14:$M$14</c:f>
              <c:numCache>
                <c:formatCode>General</c:formatCode>
                <c:ptCount val="7"/>
                <c:pt idx="0">
                  <c:v>0.80289414464059483</c:v>
                </c:pt>
                <c:pt idx="1">
                  <c:v>0.73699262710702274</c:v>
                </c:pt>
                <c:pt idx="2">
                  <c:v>0.69347338251092328</c:v>
                </c:pt>
                <c:pt idx="3">
                  <c:v>0.66542942530066007</c:v>
                </c:pt>
                <c:pt idx="4">
                  <c:v>0.64804267840515584</c:v>
                </c:pt>
                <c:pt idx="5">
                  <c:v>0.6378321571815051</c:v>
                </c:pt>
                <c:pt idx="6">
                  <c:v>0.63234728364700132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Model!$A$15</c:f>
              <c:strCache>
                <c:ptCount val="1"/>
                <c:pt idx="0">
                  <c:v>0.4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Model!$G$15:$M$15</c:f>
              <c:numCache>
                <c:formatCode>General</c:formatCode>
                <c:ptCount val="7"/>
                <c:pt idx="0">
                  <c:v>0.56974685333022046</c:v>
                </c:pt>
                <c:pt idx="1">
                  <c:v>0.51846718682496784</c:v>
                </c:pt>
                <c:pt idx="2">
                  <c:v>0.48817855877828559</c:v>
                </c:pt>
                <c:pt idx="3">
                  <c:v>0.47348441579697204</c:v>
                </c:pt>
                <c:pt idx="4">
                  <c:v>0.46930483750409607</c:v>
                </c:pt>
                <c:pt idx="5">
                  <c:v>0.47140483716580694</c:v>
                </c:pt>
                <c:pt idx="6">
                  <c:v>0.47687645136928603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Model!$A$16</c:f>
              <c:strCache>
                <c:ptCount val="1"/>
                <c:pt idx="0">
                  <c:v>0.5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Model!$G$16:$M$16</c:f>
              <c:numCache>
                <c:formatCode>General</c:formatCode>
                <c:ptCount val="7"/>
                <c:pt idx="0">
                  <c:v>0.41811440647141923</c:v>
                </c:pt>
                <c:pt idx="1">
                  <c:v>0.3711820611666603</c:v>
                </c:pt>
                <c:pt idx="2">
                  <c:v>0.34535134991704403</c:v>
                </c:pt>
                <c:pt idx="3">
                  <c:v>0.33775299634386735</c:v>
                </c:pt>
                <c:pt idx="4">
                  <c:v>0.34247828412994458</c:v>
                </c:pt>
                <c:pt idx="5">
                  <c:v>0.35331018655499247</c:v>
                </c:pt>
                <c:pt idx="6">
                  <c:v>0.36636092770544604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Model!$A$17</c:f>
              <c:strCache>
                <c:ptCount val="1"/>
                <c:pt idx="0">
                  <c:v>0.6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Model!$G$17:$M$17</c:f>
              <c:numCache>
                <c:formatCode>General</c:formatCode>
                <c:ptCount val="7"/>
                <c:pt idx="0">
                  <c:v>0.31956403862288701</c:v>
                </c:pt>
                <c:pt idx="1">
                  <c:v>0.27282352107293106</c:v>
                </c:pt>
                <c:pt idx="2">
                  <c:v>0.24598927793841449</c:v>
                </c:pt>
                <c:pt idx="3">
                  <c:v>0.24117723600470689</c:v>
                </c:pt>
                <c:pt idx="4">
                  <c:v>0.2522509246898173</c:v>
                </c:pt>
                <c:pt idx="5">
                  <c:v>0.26943279792708946</c:v>
                </c:pt>
                <c:pt idx="6">
                  <c:v>0.28755830138362704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Model!$A$18</c:f>
              <c:strCache>
                <c:ptCount val="1"/>
                <c:pt idx="0">
                  <c:v>0.7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Model!$G$18:$M$18</c:f>
              <c:numCache>
                <c:formatCode>General</c:formatCode>
                <c:ptCount val="7"/>
                <c:pt idx="0">
                  <c:v>0.25459242646179953</c:v>
                </c:pt>
                <c:pt idx="1">
                  <c:v>0.20778321577514092</c:v>
                </c:pt>
                <c:pt idx="2">
                  <c:v>0.17749627483697134</c:v>
                </c:pt>
                <c:pt idx="3">
                  <c:v>0.17229262963706704</c:v>
                </c:pt>
                <c:pt idx="4">
                  <c:v>0.1881766452028158</c:v>
                </c:pt>
                <c:pt idx="5">
                  <c:v>0.20986968829007607</c:v>
                </c:pt>
                <c:pt idx="6">
                  <c:v>0.23106562905493344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Model!$A$19</c:f>
              <c:strCache>
                <c:ptCount val="1"/>
                <c:pt idx="0">
                  <c:v>0.8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Model!$G$19:$M$19</c:f>
              <c:numCache>
                <c:formatCode>General</c:formatCode>
                <c:ptCount val="7"/>
                <c:pt idx="0">
                  <c:v>0.21032516967330761</c:v>
                </c:pt>
                <c:pt idx="1">
                  <c:v>0.16456646597058855</c:v>
                </c:pt>
                <c:pt idx="2">
                  <c:v>0.13098917006427974</c:v>
                </c:pt>
                <c:pt idx="3">
                  <c:v>0.12311123790565942</c:v>
                </c:pt>
                <c:pt idx="4">
                  <c:v>0.14282901450679658</c:v>
                </c:pt>
                <c:pt idx="5">
                  <c:v>0.16742887258595951</c:v>
                </c:pt>
                <c:pt idx="6">
                  <c:v>0.19011800962634526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Model!$A$20</c:f>
              <c:strCache>
                <c:ptCount val="1"/>
                <c:pt idx="0">
                  <c:v>0.9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Model!$G$20:$M$20</c:f>
              <c:numCache>
                <c:formatCode>General</c:formatCode>
                <c:ptCount val="7"/>
                <c:pt idx="0">
                  <c:v>0.17886727987160358</c:v>
                </c:pt>
                <c:pt idx="1">
                  <c:v>0.13513314760201073</c:v>
                </c:pt>
                <c:pt idx="2">
                  <c:v>9.9827548457180962E-2</c:v>
                </c:pt>
                <c:pt idx="3">
                  <c:v>8.7982359451737949E-2</c:v>
                </c:pt>
                <c:pt idx="4">
                  <c:v>0.11079766302157815</c:v>
                </c:pt>
                <c:pt idx="5">
                  <c:v>0.13688804037422669</c:v>
                </c:pt>
                <c:pt idx="6">
                  <c:v>0.15993183005061709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661248"/>
        <c:axId val="357662816"/>
      </c:lineChart>
      <c:catAx>
        <c:axId val="35766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57662816"/>
        <c:crosses val="autoZero"/>
        <c:auto val="1"/>
        <c:lblAlgn val="ctr"/>
        <c:lblOffset val="100"/>
        <c:noMultiLvlLbl val="0"/>
      </c:catAx>
      <c:valAx>
        <c:axId val="357662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crossAx val="3576612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Model!$A$24</c:f>
              <c:strCache>
                <c:ptCount val="1"/>
                <c:pt idx="0">
                  <c:v>0.3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Model!$G$24:$M$24</c:f>
              <c:numCache>
                <c:formatCode>General</c:formatCode>
                <c:ptCount val="7"/>
                <c:pt idx="0">
                  <c:v>0.36726890267932355</c:v>
                </c:pt>
                <c:pt idx="1">
                  <c:v>0.34680232079608769</c:v>
                </c:pt>
                <c:pt idx="2">
                  <c:v>0.33327891926063569</c:v>
                </c:pt>
                <c:pt idx="3">
                  <c:v>0.32438358444587012</c:v>
                </c:pt>
                <c:pt idx="4">
                  <c:v>0.31862852722120788</c:v>
                </c:pt>
                <c:pt idx="5">
                  <c:v>0.31501670252152625</c:v>
                </c:pt>
                <c:pt idx="6">
                  <c:v>0.31287144588172333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Model!$A$25</c:f>
              <c:strCache>
                <c:ptCount val="1"/>
                <c:pt idx="0">
                  <c:v>0.4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Model!$G$25:$M$25</c:f>
              <c:numCache>
                <c:formatCode>General</c:formatCode>
                <c:ptCount val="7"/>
                <c:pt idx="0">
                  <c:v>0.37354014426389076</c:v>
                </c:pt>
                <c:pt idx="1">
                  <c:v>0.34927326217184018</c:v>
                </c:pt>
                <c:pt idx="2">
                  <c:v>0.33456077344097984</c:v>
                </c:pt>
                <c:pt idx="3">
                  <c:v>0.32640240232503676</c:v>
                </c:pt>
                <c:pt idx="4">
                  <c:v>0.32261081063146613</c:v>
                </c:pt>
                <c:pt idx="5">
                  <c:v>0.3216142216373577</c:v>
                </c:pt>
                <c:pt idx="6">
                  <c:v>0.32234318042815502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Model!$A$26</c:f>
              <c:strCache>
                <c:ptCount val="1"/>
                <c:pt idx="0">
                  <c:v>0.5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Model!$G$26:$M$26</c:f>
              <c:numCache>
                <c:formatCode>General</c:formatCode>
                <c:ptCount val="7"/>
                <c:pt idx="0">
                  <c:v>0.38278256213804107</c:v>
                </c:pt>
                <c:pt idx="1">
                  <c:v>0.353368781696837</c:v>
                </c:pt>
                <c:pt idx="2">
                  <c:v>0.33659241074208213</c:v>
                </c:pt>
                <c:pt idx="3">
                  <c:v>0.32892134067938777</c:v>
                </c:pt>
                <c:pt idx="4">
                  <c:v>0.3272683451367554</c:v>
                </c:pt>
                <c:pt idx="5">
                  <c:v>0.32920937268216771</c:v>
                </c:pt>
                <c:pt idx="6">
                  <c:v>0.33311052608117658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Model!$A$27</c:f>
              <c:strCache>
                <c:ptCount val="1"/>
                <c:pt idx="0">
                  <c:v>0.6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Model!$G$27:$M$27</c:f>
              <c:numCache>
                <c:formatCode>General</c:formatCode>
                <c:ptCount val="7"/>
                <c:pt idx="0">
                  <c:v>0.39465691758959154</c:v>
                </c:pt>
                <c:pt idx="1">
                  <c:v>0.3590507276349249</c:v>
                </c:pt>
                <c:pt idx="2">
                  <c:v>0.33937790358393727</c:v>
                </c:pt>
                <c:pt idx="3">
                  <c:v>0.33194039950892318</c:v>
                </c:pt>
                <c:pt idx="4">
                  <c:v>0.3326059380427791</c:v>
                </c:pt>
                <c:pt idx="5">
                  <c:v>0.33777687911157595</c:v>
                </c:pt>
                <c:pt idx="6">
                  <c:v>0.34507966869484263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Model!$A$28</c:f>
              <c:strCache>
                <c:ptCount val="1"/>
                <c:pt idx="0">
                  <c:v>0.7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Model!$G$28:$M$28</c:f>
              <c:numCache>
                <c:formatCode>General</c:formatCode>
                <c:ptCount val="7"/>
                <c:pt idx="0">
                  <c:v>0.40884244390209562</c:v>
                </c:pt>
                <c:pt idx="1">
                  <c:v>0.36626677947179404</c:v>
                </c:pt>
                <c:pt idx="2">
                  <c:v>0.3429217088828288</c:v>
                </c:pt>
                <c:pt idx="3">
                  <c:v>0.33545957881364297</c:v>
                </c:pt>
                <c:pt idx="4">
                  <c:v>0.33862931982084676</c:v>
                </c:pt>
                <c:pt idx="5">
                  <c:v>0.34729724629009057</c:v>
                </c:pt>
                <c:pt idx="6">
                  <c:v>0.35818119028532436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Model!$A$29</c:f>
              <c:strCache>
                <c:ptCount val="1"/>
                <c:pt idx="0">
                  <c:v>0.8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Model!$G$29:$M$29</c:f>
              <c:numCache>
                <c:formatCode>General</c:formatCode>
                <c:ptCount val="7"/>
                <c:pt idx="0">
                  <c:v>0.42507156546252345</c:v>
                </c:pt>
                <c:pt idx="1">
                  <c:v>0.37495795921335029</c:v>
                </c:pt>
                <c:pt idx="2">
                  <c:v>0.34722861396791088</c:v>
                </c:pt>
                <c:pt idx="3">
                  <c:v>0.33947887859354708</c:v>
                </c:pt>
                <c:pt idx="4">
                  <c:v>0.34534513297786007</c:v>
                </c:pt>
                <c:pt idx="5">
                  <c:v>0.35775711562889673</c:v>
                </c:pt>
                <c:pt idx="6">
                  <c:v>0.37236810862457126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Model!$A$30</c:f>
              <c:strCache>
                <c:ptCount val="1"/>
                <c:pt idx="0">
                  <c:v>0.9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Model!$G$30:$M$30</c:f>
              <c:numCache>
                <c:formatCode>General</c:formatCode>
                <c:ptCount val="7"/>
                <c:pt idx="0">
                  <c:v>0.4431396113149928</c:v>
                </c:pt>
                <c:pt idx="1">
                  <c:v>0.38506531232470148</c:v>
                </c:pt>
                <c:pt idx="2">
                  <c:v>0.35230370596024235</c:v>
                </c:pt>
                <c:pt idx="3">
                  <c:v>0.3439982988486357</c:v>
                </c:pt>
                <c:pt idx="4">
                  <c:v>0.35276091014003247</c:v>
                </c:pt>
                <c:pt idx="5">
                  <c:v>0.36914916501304601</c:v>
                </c:pt>
                <c:pt idx="6">
                  <c:v>0.38761264066844858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239600"/>
        <c:axId val="357234896"/>
      </c:lineChart>
      <c:catAx>
        <c:axId val="35723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57234896"/>
        <c:crosses val="autoZero"/>
        <c:auto val="1"/>
        <c:lblAlgn val="ctr"/>
        <c:lblOffset val="100"/>
        <c:noMultiLvlLbl val="0"/>
      </c:catAx>
      <c:valAx>
        <c:axId val="357234896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crossAx val="3572396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Rho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Model!$A$33</c:f>
              <c:strCache>
                <c:ptCount val="1"/>
                <c:pt idx="0">
                  <c:v>-0.6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Model!$G$33:$M$33</c:f>
              <c:numCache>
                <c:formatCode>General</c:formatCode>
                <c:ptCount val="7"/>
                <c:pt idx="0">
                  <c:v>0.51028074187458838</c:v>
                </c:pt>
                <c:pt idx="1">
                  <c:v>0.43421071236510034</c:v>
                </c:pt>
                <c:pt idx="2">
                  <c:v>0.3724360703677313</c:v>
                </c:pt>
                <c:pt idx="3">
                  <c:v>0.3225464533652424</c:v>
                </c:pt>
                <c:pt idx="4">
                  <c:v>0.2849354288494243</c:v>
                </c:pt>
                <c:pt idx="5">
                  <c:v>0.26118929204810049</c:v>
                </c:pt>
                <c:pt idx="6">
                  <c:v>0.25060242321356241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Model!$A$34</c:f>
              <c:strCache>
                <c:ptCount val="1"/>
                <c:pt idx="0">
                  <c:v>-0.4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Model!$G$34:$M$34</c:f>
              <c:numCache>
                <c:formatCode>General</c:formatCode>
                <c:ptCount val="7"/>
                <c:pt idx="0">
                  <c:v>0.49646404378731002</c:v>
                </c:pt>
                <c:pt idx="1">
                  <c:v>0.42540966933999402</c:v>
                </c:pt>
                <c:pt idx="2">
                  <c:v>0.37015904706614172</c:v>
                </c:pt>
                <c:pt idx="3">
                  <c:v>0.32911791720438244</c:v>
                </c:pt>
                <c:pt idx="4">
                  <c:v>0.30257214070890143</c:v>
                </c:pt>
                <c:pt idx="5">
                  <c:v>0.28973489844853617</c:v>
                </c:pt>
                <c:pt idx="6">
                  <c:v>0.28712092118172405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Model!$A$35</c:f>
              <c:strCache>
                <c:ptCount val="1"/>
                <c:pt idx="0">
                  <c:v>-0.2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Model!$G$35:$M$35</c:f>
              <c:numCache>
                <c:formatCode>General</c:formatCode>
                <c:ptCount val="7"/>
                <c:pt idx="0">
                  <c:v>0.47693573696873581</c:v>
                </c:pt>
                <c:pt idx="1">
                  <c:v>0.41223032450788077</c:v>
                </c:pt>
                <c:pt idx="2">
                  <c:v>0.36493349324940028</c:v>
                </c:pt>
                <c:pt idx="3">
                  <c:v>0.33384235240618254</c:v>
                </c:pt>
                <c:pt idx="4">
                  <c:v>0.31800625219855155</c:v>
                </c:pt>
                <c:pt idx="5">
                  <c:v>0.31415095003641447</c:v>
                </c:pt>
                <c:pt idx="6">
                  <c:v>0.31766169856420018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Model!$A$36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Model!$G$36:$M$36</c:f>
              <c:numCache>
                <c:formatCode>General</c:formatCode>
                <c:ptCount val="7"/>
                <c:pt idx="0">
                  <c:v>0.45147877071981557</c:v>
                </c:pt>
                <c:pt idx="1">
                  <c:v>0.39458228021975439</c:v>
                </c:pt>
                <c:pt idx="2">
                  <c:v>0.35682185242411646</c:v>
                </c:pt>
                <c:pt idx="3">
                  <c:v>0.33671975897064271</c:v>
                </c:pt>
                <c:pt idx="4">
                  <c:v>0.33119428763559072</c:v>
                </c:pt>
                <c:pt idx="5">
                  <c:v>0.33503870379618372</c:v>
                </c:pt>
                <c:pt idx="6">
                  <c:v>0.34360887708883281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Model!$A$37</c:f>
              <c:strCache>
                <c:ptCount val="1"/>
                <c:pt idx="0">
                  <c:v>0.2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Model!$G$37:$M$37</c:f>
              <c:numCache>
                <c:formatCode>General</c:formatCode>
                <c:ptCount val="7"/>
                <c:pt idx="0">
                  <c:v>0.41960629402312333</c:v>
                </c:pt>
                <c:pt idx="1">
                  <c:v>0.37223026607754311</c:v>
                </c:pt>
                <c:pt idx="2">
                  <c:v>0.34587291125423303</c:v>
                </c:pt>
                <c:pt idx="3">
                  <c:v>0.33775013689776295</c:v>
                </c:pt>
                <c:pt idx="4">
                  <c:v>0.34207290555576214</c:v>
                </c:pt>
                <c:pt idx="5">
                  <c:v>0.35264102905762518</c:v>
                </c:pt>
                <c:pt idx="6">
                  <c:v>0.36552432716685895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Model!$A$38</c:f>
              <c:strCache>
                <c:ptCount val="1"/>
                <c:pt idx="0">
                  <c:v>0.4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Model!$G$38:$M$38</c:f>
              <c:numCache>
                <c:formatCode>General</c:formatCode>
                <c:ptCount val="7"/>
                <c:pt idx="0">
                  <c:v>0.38026190760125256</c:v>
                </c:pt>
                <c:pt idx="1">
                  <c:v>0.34464623870706335</c:v>
                </c:pt>
                <c:pt idx="2">
                  <c:v>0.33211151385882448</c:v>
                </c:pt>
                <c:pt idx="3">
                  <c:v>0.33693348618754321</c:v>
                </c:pt>
                <c:pt idx="4">
                  <c:v>0.35056858361918425</c:v>
                </c:pt>
                <c:pt idx="5">
                  <c:v>0.3670427206940764</c:v>
                </c:pt>
                <c:pt idx="6">
                  <c:v>0.38364382337897235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Model!$A$39</c:f>
              <c:strCache>
                <c:ptCount val="1"/>
                <c:pt idx="0">
                  <c:v>0.6</c:v>
                </c:pt>
              </c:strCache>
            </c:strRef>
          </c:tx>
          <c:marker>
            <c:symbol val="none"/>
          </c:marker>
          <c:cat>
            <c:numRef>
              <c:f>Model!$G$1:$M$1</c:f>
              <c:numCache>
                <c:formatCode>General</c:formatCode>
                <c:ptCount val="7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</c:numCache>
            </c:numRef>
          </c:cat>
          <c:val>
            <c:numRef>
              <c:f>Model!$G$39:$M$39</c:f>
              <c:numCache>
                <c:formatCode>General</c:formatCode>
                <c:ptCount val="7"/>
                <c:pt idx="0">
                  <c:v>0.33094876611788759</c:v>
                </c:pt>
                <c:pt idx="1">
                  <c:v>0.31061428171973338</c:v>
                </c:pt>
                <c:pt idx="2">
                  <c:v>0.31551910755655899</c:v>
                </c:pt>
                <c:pt idx="3">
                  <c:v>0.33426980683998347</c:v>
                </c:pt>
                <c:pt idx="4">
                  <c:v>0.35660274260646974</c:v>
                </c:pt>
                <c:pt idx="5">
                  <c:v>0.37824944908694924</c:v>
                </c:pt>
                <c:pt idx="6">
                  <c:v>0.39804949152080005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236072"/>
        <c:axId val="357240384"/>
      </c:lineChart>
      <c:catAx>
        <c:axId val="357236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57240384"/>
        <c:crosses val="autoZero"/>
        <c:auto val="1"/>
        <c:lblAlgn val="ctr"/>
        <c:lblOffset val="100"/>
        <c:noMultiLvlLbl val="0"/>
      </c:catAx>
      <c:valAx>
        <c:axId val="357240384"/>
        <c:scaling>
          <c:orientation val="minMax"/>
          <c:min val="0.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crossAx val="3572360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3Mx10Y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Market Vol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SABR!$U$4:$AA$4</c:f>
              <c:numCache>
                <c:formatCode>General</c:formatCode>
                <c:ptCount val="7"/>
                <c:pt idx="0">
                  <c:v>0.58752000000000004</c:v>
                </c:pt>
                <c:pt idx="1">
                  <c:v>0.47532000000000002</c:v>
                </c:pt>
                <c:pt idx="2">
                  <c:v>0.36618000000000001</c:v>
                </c:pt>
                <c:pt idx="3">
                  <c:v>0.34782000000000002</c:v>
                </c:pt>
                <c:pt idx="4">
                  <c:v>0.41819999999999996</c:v>
                </c:pt>
                <c:pt idx="5">
                  <c:v>0.46715999999999996</c:v>
                </c:pt>
                <c:pt idx="6">
                  <c:v>0.51305999999999996</c:v>
                </c:pt>
              </c:numCache>
            </c:numRef>
          </c:val>
          <c:smooth val="0"/>
        </c:ser>
        <c:ser>
          <c:idx val="1"/>
          <c:order val="1"/>
          <c:tx>
            <c:v>Model Vol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SABR!$U$14:$AA$14</c:f>
              <c:numCache>
                <c:formatCode>0.0000</c:formatCode>
                <c:ptCount val="7"/>
                <c:pt idx="0">
                  <c:v>0.64333923897990775</c:v>
                </c:pt>
                <c:pt idx="1">
                  <c:v>0.46936707319022564</c:v>
                </c:pt>
                <c:pt idx="2">
                  <c:v>0.36354312341547018</c:v>
                </c:pt>
                <c:pt idx="3">
                  <c:v>0.35260017183746772</c:v>
                </c:pt>
                <c:pt idx="4">
                  <c:v>0.4092193112976904</c:v>
                </c:pt>
                <c:pt idx="5">
                  <c:v>0.46946258891011144</c:v>
                </c:pt>
                <c:pt idx="6">
                  <c:v>0.52161439848699587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989168"/>
        <c:axId val="360989952"/>
      </c:lineChart>
      <c:catAx>
        <c:axId val="36098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89952"/>
        <c:crosses val="autoZero"/>
        <c:auto val="1"/>
        <c:lblAlgn val="ctr"/>
        <c:lblOffset val="100"/>
        <c:noMultiLvlLbl val="0"/>
      </c:catAx>
      <c:valAx>
        <c:axId val="36098995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8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 Data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SABR!$N$4</c:f>
              <c:strCache>
                <c:ptCount val="1"/>
                <c:pt idx="0">
                  <c:v>0.01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SABR!$U$4:$U$11</c:f>
              <c:numCache>
                <c:formatCode>General</c:formatCode>
                <c:ptCount val="8"/>
                <c:pt idx="0">
                  <c:v>0.58752000000000004</c:v>
                </c:pt>
                <c:pt idx="1">
                  <c:v>0.54774</c:v>
                </c:pt>
                <c:pt idx="2">
                  <c:v>0.50387999999999999</c:v>
                </c:pt>
                <c:pt idx="3">
                  <c:v>0.46512000000000003</c:v>
                </c:pt>
                <c:pt idx="4">
                  <c:v>0.44982</c:v>
                </c:pt>
                <c:pt idx="5">
                  <c:v>0.41922000000000004</c:v>
                </c:pt>
                <c:pt idx="6">
                  <c:v>0.35904000000000003</c:v>
                </c:pt>
                <c:pt idx="7">
                  <c:v>0.32640000000000002</c:v>
                </c:pt>
              </c:numCache>
            </c:numRef>
          </c:val>
        </c:ser>
        <c:ser>
          <c:idx val="1"/>
          <c:order val="1"/>
          <c:tx>
            <c:strRef>
              <c:f>SABR!$O$5</c:f>
              <c:strCache>
                <c:ptCount val="1"/>
                <c:pt idx="0">
                  <c:v>0.0175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SABR!$V$4:$V$11</c:f>
              <c:numCache>
                <c:formatCode>General</c:formatCode>
                <c:ptCount val="8"/>
                <c:pt idx="0">
                  <c:v>0.47532000000000002</c:v>
                </c:pt>
                <c:pt idx="1">
                  <c:v>0.47837999999999997</c:v>
                </c:pt>
                <c:pt idx="2">
                  <c:v>0.45695999999999998</c:v>
                </c:pt>
                <c:pt idx="3">
                  <c:v>0.42432000000000003</c:v>
                </c:pt>
                <c:pt idx="4">
                  <c:v>0.40595999999999999</c:v>
                </c:pt>
                <c:pt idx="5">
                  <c:v>0.38147999999999999</c:v>
                </c:pt>
                <c:pt idx="6">
                  <c:v>0.34067999999999998</c:v>
                </c:pt>
                <c:pt idx="7">
                  <c:v>0.31619999999999998</c:v>
                </c:pt>
              </c:numCache>
            </c:numRef>
          </c:val>
        </c:ser>
        <c:ser>
          <c:idx val="2"/>
          <c:order val="2"/>
          <c:tx>
            <c:strRef>
              <c:f>SABR!$P$6</c:f>
              <c:strCache>
                <c:ptCount val="1"/>
                <c:pt idx="0">
                  <c:v>0.0268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SABR!$W$4:$W$11</c:f>
              <c:numCache>
                <c:formatCode>General</c:formatCode>
                <c:ptCount val="8"/>
                <c:pt idx="0">
                  <c:v>0.36618000000000001</c:v>
                </c:pt>
                <c:pt idx="1">
                  <c:v>0.40085999999999999</c:v>
                </c:pt>
                <c:pt idx="2">
                  <c:v>0.40392</c:v>
                </c:pt>
                <c:pt idx="3">
                  <c:v>0.38658000000000003</c:v>
                </c:pt>
                <c:pt idx="4">
                  <c:v>0.37944000000000006</c:v>
                </c:pt>
                <c:pt idx="5">
                  <c:v>0.35394000000000003</c:v>
                </c:pt>
                <c:pt idx="6">
                  <c:v>0.31109999999999999</c:v>
                </c:pt>
                <c:pt idx="7">
                  <c:v>0.29477999999999999</c:v>
                </c:pt>
              </c:numCache>
            </c:numRef>
          </c:val>
        </c:ser>
        <c:ser>
          <c:idx val="3"/>
          <c:order val="3"/>
          <c:tx>
            <c:strRef>
              <c:f>SABR!$Q$7</c:f>
              <c:strCache>
                <c:ptCount val="1"/>
                <c:pt idx="0">
                  <c:v>0.035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SABR!$X$4:$X$11</c:f>
              <c:numCache>
                <c:formatCode>General</c:formatCode>
                <c:ptCount val="8"/>
                <c:pt idx="0">
                  <c:v>0.34782000000000002</c:v>
                </c:pt>
                <c:pt idx="1">
                  <c:v>0.37230000000000002</c:v>
                </c:pt>
                <c:pt idx="2">
                  <c:v>0.38555999999999996</c:v>
                </c:pt>
                <c:pt idx="3">
                  <c:v>0.37331999999999999</c:v>
                </c:pt>
                <c:pt idx="4">
                  <c:v>0.35699999999999998</c:v>
                </c:pt>
                <c:pt idx="5">
                  <c:v>0.32538</c:v>
                </c:pt>
                <c:pt idx="6">
                  <c:v>0.28662000000000004</c:v>
                </c:pt>
                <c:pt idx="7">
                  <c:v>0.27132000000000001</c:v>
                </c:pt>
              </c:numCache>
            </c:numRef>
          </c:val>
        </c:ser>
        <c:ser>
          <c:idx val="4"/>
          <c:order val="4"/>
          <c:tx>
            <c:strRef>
              <c:f>SABR!$R$8</c:f>
              <c:strCache>
                <c:ptCount val="1"/>
                <c:pt idx="0">
                  <c:v>0.0426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SABR!$Y$4:$Y$11</c:f>
              <c:numCache>
                <c:formatCode>General</c:formatCode>
                <c:ptCount val="8"/>
                <c:pt idx="0">
                  <c:v>0.41819999999999996</c:v>
                </c:pt>
                <c:pt idx="1">
                  <c:v>0.42125999999999997</c:v>
                </c:pt>
                <c:pt idx="2">
                  <c:v>0.40290000000000004</c:v>
                </c:pt>
                <c:pt idx="3">
                  <c:v>0.38555999999999996</c:v>
                </c:pt>
                <c:pt idx="4">
                  <c:v>0.36719999999999997</c:v>
                </c:pt>
                <c:pt idx="5">
                  <c:v>0.33252000000000004</c:v>
                </c:pt>
                <c:pt idx="6">
                  <c:v>0.29580000000000001</c:v>
                </c:pt>
                <c:pt idx="7">
                  <c:v>0.26519999999999999</c:v>
                </c:pt>
              </c:numCache>
            </c:numRef>
          </c:val>
        </c:ser>
        <c:ser>
          <c:idx val="5"/>
          <c:order val="5"/>
          <c:tx>
            <c:strRef>
              <c:f>SABR!$S$9</c:f>
              <c:strCache>
                <c:ptCount val="1"/>
                <c:pt idx="0">
                  <c:v>0.0491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SABR!$Z$4:$Z$11</c:f>
              <c:numCache>
                <c:formatCode>General</c:formatCode>
                <c:ptCount val="8"/>
                <c:pt idx="0">
                  <c:v>0.46715999999999996</c:v>
                </c:pt>
                <c:pt idx="1">
                  <c:v>0.44268000000000002</c:v>
                </c:pt>
                <c:pt idx="2">
                  <c:v>0.42737999999999998</c:v>
                </c:pt>
                <c:pt idx="3">
                  <c:v>0.39984000000000003</c:v>
                </c:pt>
                <c:pt idx="4">
                  <c:v>0.37637999999999999</c:v>
                </c:pt>
                <c:pt idx="5">
                  <c:v>0.33864</c:v>
                </c:pt>
                <c:pt idx="6">
                  <c:v>0.30192000000000002</c:v>
                </c:pt>
                <c:pt idx="7">
                  <c:v>0.26826</c:v>
                </c:pt>
              </c:numCache>
            </c:numRef>
          </c:val>
        </c:ser>
        <c:ser>
          <c:idx val="6"/>
          <c:order val="6"/>
          <c:tx>
            <c:strRef>
              <c:f>SABR!$T$10</c:f>
              <c:strCache>
                <c:ptCount val="1"/>
                <c:pt idx="0">
                  <c:v>0.0558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SABR!$AA$4:$AA$11</c:f>
              <c:numCache>
                <c:formatCode>General</c:formatCode>
                <c:ptCount val="8"/>
                <c:pt idx="0">
                  <c:v>0.51305999999999996</c:v>
                </c:pt>
                <c:pt idx="1">
                  <c:v>0.47837999999999997</c:v>
                </c:pt>
                <c:pt idx="2">
                  <c:v>0.44880000000000003</c:v>
                </c:pt>
                <c:pt idx="3">
                  <c:v>0.40800000000000003</c:v>
                </c:pt>
                <c:pt idx="4">
                  <c:v>0.38250000000000001</c:v>
                </c:pt>
                <c:pt idx="5">
                  <c:v>0.34475999999999996</c:v>
                </c:pt>
                <c:pt idx="6">
                  <c:v>0.30803999999999998</c:v>
                </c:pt>
                <c:pt idx="7">
                  <c:v>0.27846000000000004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60991912"/>
        <c:axId val="360992304"/>
        <c:axId val="441956896"/>
      </c:surface3DChart>
      <c:catAx>
        <c:axId val="360991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92304"/>
        <c:crosses val="autoZero"/>
        <c:auto val="1"/>
        <c:lblAlgn val="ctr"/>
        <c:lblOffset val="100"/>
        <c:noMultiLvlLbl val="0"/>
      </c:catAx>
      <c:valAx>
        <c:axId val="360992304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91912"/>
        <c:crosses val="autoZero"/>
        <c:crossBetween val="midCat"/>
      </c:valAx>
      <c:serAx>
        <c:axId val="4419568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92304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Calibrated Data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SABR!$N$4</c:f>
              <c:strCache>
                <c:ptCount val="1"/>
                <c:pt idx="0">
                  <c:v>0.01</c:v>
                </c:pt>
              </c:strCache>
            </c:strRef>
          </c:tx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SABR!$U$14:$U$21</c:f>
              <c:numCache>
                <c:formatCode>0.0000</c:formatCode>
                <c:ptCount val="8"/>
                <c:pt idx="0">
                  <c:v>0.64333923897990775</c:v>
                </c:pt>
                <c:pt idx="1">
                  <c:v>0.57512946522481134</c:v>
                </c:pt>
                <c:pt idx="2">
                  <c:v>0.51764706950662542</c:v>
                </c:pt>
                <c:pt idx="3">
                  <c:v>0.46986859929547842</c:v>
                </c:pt>
                <c:pt idx="4">
                  <c:v>0.45169746824498552</c:v>
                </c:pt>
                <c:pt idx="5">
                  <c:v>0.42319840278162041</c:v>
                </c:pt>
                <c:pt idx="6">
                  <c:v>0.36689729554869038</c:v>
                </c:pt>
                <c:pt idx="7">
                  <c:v>0.33559080384345402</c:v>
                </c:pt>
              </c:numCache>
            </c:numRef>
          </c:val>
        </c:ser>
        <c:ser>
          <c:idx val="1"/>
          <c:order val="1"/>
          <c:tx>
            <c:strRef>
              <c:f>SABR!$O$5</c:f>
              <c:strCache>
                <c:ptCount val="1"/>
                <c:pt idx="0">
                  <c:v>0.0175</c:v>
                </c:pt>
              </c:strCache>
            </c:strRef>
          </c:tx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SABR!$V$14:$V$21</c:f>
              <c:numCache>
                <c:formatCode>0.0000</c:formatCode>
                <c:ptCount val="8"/>
                <c:pt idx="0">
                  <c:v>0.46936707319022564</c:v>
                </c:pt>
                <c:pt idx="1">
                  <c:v>0.45970502639893596</c:v>
                </c:pt>
                <c:pt idx="2">
                  <c:v>0.44243368433996094</c:v>
                </c:pt>
                <c:pt idx="3">
                  <c:v>0.41676105925545215</c:v>
                </c:pt>
                <c:pt idx="4">
                  <c:v>0.40416186038586072</c:v>
                </c:pt>
                <c:pt idx="5">
                  <c:v>0.37779980048582018</c:v>
                </c:pt>
                <c:pt idx="6">
                  <c:v>0.33050390874456598</c:v>
                </c:pt>
                <c:pt idx="7">
                  <c:v>0.30694729322102338</c:v>
                </c:pt>
              </c:numCache>
            </c:numRef>
          </c:val>
        </c:ser>
        <c:ser>
          <c:idx val="2"/>
          <c:order val="2"/>
          <c:tx>
            <c:strRef>
              <c:f>SABR!$P$6</c:f>
              <c:strCache>
                <c:ptCount val="1"/>
                <c:pt idx="0">
                  <c:v>0.0268</c:v>
                </c:pt>
              </c:strCache>
            </c:strRef>
          </c:tx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SABR!$W$14:$W$21</c:f>
              <c:numCache>
                <c:formatCode>0.0000</c:formatCode>
                <c:ptCount val="8"/>
                <c:pt idx="0">
                  <c:v>0.36354312341547018</c:v>
                </c:pt>
                <c:pt idx="1">
                  <c:v>0.39626915344090219</c:v>
                </c:pt>
                <c:pt idx="2">
                  <c:v>0.40172268040571385</c:v>
                </c:pt>
                <c:pt idx="3">
                  <c:v>0.38750415033363089</c:v>
                </c:pt>
                <c:pt idx="4">
                  <c:v>0.37567108884861877</c:v>
                </c:pt>
                <c:pt idx="5">
                  <c:v>0.34835171777948754</c:v>
                </c:pt>
                <c:pt idx="6">
                  <c:v>0.3072813061368187</c:v>
                </c:pt>
                <c:pt idx="7">
                  <c:v>0.28754262785163753</c:v>
                </c:pt>
              </c:numCache>
            </c:numRef>
          </c:val>
        </c:ser>
        <c:ser>
          <c:idx val="3"/>
          <c:order val="3"/>
          <c:tx>
            <c:strRef>
              <c:f>SABR!$Q$7</c:f>
              <c:strCache>
                <c:ptCount val="1"/>
                <c:pt idx="0">
                  <c:v>0.035</c:v>
                </c:pt>
              </c:strCache>
            </c:strRef>
          </c:tx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SABR!$X$14:$X$21</c:f>
              <c:numCache>
                <c:formatCode>0.0000</c:formatCode>
                <c:ptCount val="8"/>
                <c:pt idx="0">
                  <c:v>0.35260017183746772</c:v>
                </c:pt>
                <c:pt idx="1">
                  <c:v>0.38672414115746978</c:v>
                </c:pt>
                <c:pt idx="2">
                  <c:v>0.3928854619248508</c:v>
                </c:pt>
                <c:pt idx="3">
                  <c:v>0.37877583260714459</c:v>
                </c:pt>
                <c:pt idx="4">
                  <c:v>0.36412669544763404</c:v>
                </c:pt>
                <c:pt idx="5">
                  <c:v>0.33381349171272096</c:v>
                </c:pt>
                <c:pt idx="6">
                  <c:v>0.29628578216037887</c:v>
                </c:pt>
                <c:pt idx="7">
                  <c:v>0.27611850587018866</c:v>
                </c:pt>
              </c:numCache>
            </c:numRef>
          </c:val>
        </c:ser>
        <c:ser>
          <c:idx val="4"/>
          <c:order val="4"/>
          <c:tx>
            <c:strRef>
              <c:f>SABR!$R$8</c:f>
              <c:strCache>
                <c:ptCount val="1"/>
                <c:pt idx="0">
                  <c:v>0.0426</c:v>
                </c:pt>
              </c:strCache>
            </c:strRef>
          </c:tx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SABR!$Y$14:$Y$21</c:f>
              <c:numCache>
                <c:formatCode>0.0000</c:formatCode>
                <c:ptCount val="8"/>
                <c:pt idx="0">
                  <c:v>0.4092193112976904</c:v>
                </c:pt>
                <c:pt idx="1">
                  <c:v>0.41146919749149879</c:v>
                </c:pt>
                <c:pt idx="2">
                  <c:v>0.40482185787990566</c:v>
                </c:pt>
                <c:pt idx="3">
                  <c:v>0.38389647953398681</c:v>
                </c:pt>
                <c:pt idx="4">
                  <c:v>0.36507392869089206</c:v>
                </c:pt>
                <c:pt idx="5">
                  <c:v>0.331277251619568</c:v>
                </c:pt>
                <c:pt idx="6">
                  <c:v>0.29497660426561378</c:v>
                </c:pt>
                <c:pt idx="7">
                  <c:v>0.27109022575735547</c:v>
                </c:pt>
              </c:numCache>
            </c:numRef>
          </c:val>
        </c:ser>
        <c:ser>
          <c:idx val="5"/>
          <c:order val="5"/>
          <c:tx>
            <c:strRef>
              <c:f>SABR!$S$9</c:f>
              <c:strCache>
                <c:ptCount val="1"/>
                <c:pt idx="0">
                  <c:v>0.0491</c:v>
                </c:pt>
              </c:strCache>
            </c:strRef>
          </c:tx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SABR!$Z$14:$Z$21</c:f>
              <c:numCache>
                <c:formatCode>0.0000</c:formatCode>
                <c:ptCount val="8"/>
                <c:pt idx="0">
                  <c:v>0.46946258891011144</c:v>
                </c:pt>
                <c:pt idx="1">
                  <c:v>0.44491735694010731</c:v>
                </c:pt>
                <c:pt idx="2">
                  <c:v>0.42501246843861434</c:v>
                </c:pt>
                <c:pt idx="3">
                  <c:v>0.39587583637697299</c:v>
                </c:pt>
                <c:pt idx="4">
                  <c:v>0.37315775760376257</c:v>
                </c:pt>
                <c:pt idx="5">
                  <c:v>0.33635089853465089</c:v>
                </c:pt>
                <c:pt idx="6">
                  <c:v>0.2997747273782802</c:v>
                </c:pt>
                <c:pt idx="7">
                  <c:v>0.2706007717277264</c:v>
                </c:pt>
              </c:numCache>
            </c:numRef>
          </c:val>
        </c:ser>
        <c:ser>
          <c:idx val="6"/>
          <c:order val="6"/>
          <c:tx>
            <c:strRef>
              <c:f>SABR!$T$10</c:f>
              <c:strCache>
                <c:ptCount val="1"/>
                <c:pt idx="0">
                  <c:v>0.0558</c:v>
                </c:pt>
              </c:strCache>
            </c:strRef>
          </c:tx>
          <c:cat>
            <c:strRef>
              <c:f>SABR!$I$4:$I$11</c:f>
              <c:strCache>
                <c:ptCount val="8"/>
                <c:pt idx="0">
                  <c:v>3Mx10Y</c:v>
                </c:pt>
                <c:pt idx="1">
                  <c:v>1Yx10Y</c:v>
                </c:pt>
                <c:pt idx="2">
                  <c:v>2Yx10Y</c:v>
                </c:pt>
                <c:pt idx="3">
                  <c:v>3Yx10Y</c:v>
                </c:pt>
                <c:pt idx="4">
                  <c:v>4Yx10Y</c:v>
                </c:pt>
                <c:pt idx="5">
                  <c:v>5Yx10Y</c:v>
                </c:pt>
                <c:pt idx="6">
                  <c:v>7Yx10Y</c:v>
                </c:pt>
                <c:pt idx="7">
                  <c:v>10Yx10Y</c:v>
                </c:pt>
              </c:strCache>
            </c:strRef>
          </c:cat>
          <c:val>
            <c:numRef>
              <c:f>SABR!$AA$14:$AA$21</c:f>
              <c:numCache>
                <c:formatCode>0.0000</c:formatCode>
                <c:ptCount val="8"/>
                <c:pt idx="0">
                  <c:v>0.52161439848699587</c:v>
                </c:pt>
                <c:pt idx="1">
                  <c:v>0.47742015413916949</c:v>
                </c:pt>
                <c:pt idx="2">
                  <c:v>0.44689523951382937</c:v>
                </c:pt>
                <c:pt idx="3">
                  <c:v>0.41035039668446216</c:v>
                </c:pt>
                <c:pt idx="4">
                  <c:v>0.38447555853352289</c:v>
                </c:pt>
                <c:pt idx="5">
                  <c:v>0.34529834176467683</c:v>
                </c:pt>
                <c:pt idx="6">
                  <c:v>0.3077036559687642</c:v>
                </c:pt>
                <c:pt idx="7">
                  <c:v>0.27297253806001787</c:v>
                </c:pt>
              </c:numCache>
            </c:numRef>
          </c:val>
        </c:ser>
        <c:bandFmts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60985640"/>
        <c:axId val="305865056"/>
        <c:axId val="441960288"/>
      </c:surface3DChart>
      <c:catAx>
        <c:axId val="36098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65056"/>
        <c:crosses val="autoZero"/>
        <c:auto val="1"/>
        <c:lblAlgn val="ctr"/>
        <c:lblOffset val="100"/>
        <c:noMultiLvlLbl val="0"/>
      </c:catAx>
      <c:valAx>
        <c:axId val="305865056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85640"/>
        <c:crosses val="autoZero"/>
        <c:crossBetween val="midCat"/>
      </c:valAx>
      <c:serAx>
        <c:axId val="441960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65056"/>
        <c:crosses val="autoZero"/>
      </c:ser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1Yx10Y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SABR!$U$5:$AA$5</c:f>
              <c:numCache>
                <c:formatCode>General</c:formatCode>
                <c:ptCount val="7"/>
                <c:pt idx="0">
                  <c:v>0.54774</c:v>
                </c:pt>
                <c:pt idx="1">
                  <c:v>0.47837999999999997</c:v>
                </c:pt>
                <c:pt idx="2">
                  <c:v>0.40085999999999999</c:v>
                </c:pt>
                <c:pt idx="3">
                  <c:v>0.37230000000000002</c:v>
                </c:pt>
                <c:pt idx="4">
                  <c:v>0.42125999999999997</c:v>
                </c:pt>
                <c:pt idx="5">
                  <c:v>0.44268000000000002</c:v>
                </c:pt>
                <c:pt idx="6">
                  <c:v>0.47837999999999997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SABR!$U$15:$AA$15</c:f>
              <c:numCache>
                <c:formatCode>0.0000</c:formatCode>
                <c:ptCount val="7"/>
                <c:pt idx="0">
                  <c:v>0.57512946522481134</c:v>
                </c:pt>
                <c:pt idx="1">
                  <c:v>0.45970502639893596</c:v>
                </c:pt>
                <c:pt idx="2">
                  <c:v>0.39626915344090219</c:v>
                </c:pt>
                <c:pt idx="3">
                  <c:v>0.38672414115746978</c:v>
                </c:pt>
                <c:pt idx="4">
                  <c:v>0.41146919749149879</c:v>
                </c:pt>
                <c:pt idx="5">
                  <c:v>0.44491735694010731</c:v>
                </c:pt>
                <c:pt idx="6">
                  <c:v>0.47742015413916949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867408"/>
        <c:axId val="305866232"/>
      </c:lineChart>
      <c:catAx>
        <c:axId val="30586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66232"/>
        <c:crosses val="autoZero"/>
        <c:auto val="1"/>
        <c:lblAlgn val="ctr"/>
        <c:lblOffset val="100"/>
        <c:noMultiLvlLbl val="0"/>
      </c:catAx>
      <c:valAx>
        <c:axId val="30586623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86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2Yx10Y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SABR!$U$6:$AA$6</c:f>
              <c:numCache>
                <c:formatCode>General</c:formatCode>
                <c:ptCount val="7"/>
                <c:pt idx="0">
                  <c:v>0.50387999999999999</c:v>
                </c:pt>
                <c:pt idx="1">
                  <c:v>0.45695999999999998</c:v>
                </c:pt>
                <c:pt idx="2">
                  <c:v>0.40392</c:v>
                </c:pt>
                <c:pt idx="3">
                  <c:v>0.38555999999999996</c:v>
                </c:pt>
                <c:pt idx="4">
                  <c:v>0.40290000000000004</c:v>
                </c:pt>
                <c:pt idx="5">
                  <c:v>0.42737999999999998</c:v>
                </c:pt>
                <c:pt idx="6">
                  <c:v>0.44880000000000003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SABR!$U$16:$AA$16</c:f>
              <c:numCache>
                <c:formatCode>0.0000</c:formatCode>
                <c:ptCount val="7"/>
                <c:pt idx="0">
                  <c:v>0.51764706950662542</c:v>
                </c:pt>
                <c:pt idx="1">
                  <c:v>0.44243368433996094</c:v>
                </c:pt>
                <c:pt idx="2">
                  <c:v>0.40172268040571385</c:v>
                </c:pt>
                <c:pt idx="3">
                  <c:v>0.3928854619248508</c:v>
                </c:pt>
                <c:pt idx="4">
                  <c:v>0.40482185787990566</c:v>
                </c:pt>
                <c:pt idx="5">
                  <c:v>0.42501246843861434</c:v>
                </c:pt>
                <c:pt idx="6">
                  <c:v>0.44689523951382937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41168"/>
        <c:axId val="357241952"/>
      </c:lineChart>
      <c:catAx>
        <c:axId val="35724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41952"/>
        <c:crosses val="autoZero"/>
        <c:auto val="1"/>
        <c:lblAlgn val="ctr"/>
        <c:lblOffset val="100"/>
        <c:noMultiLvlLbl val="0"/>
      </c:catAx>
      <c:valAx>
        <c:axId val="35724195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4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2Yx10Y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SABR!$U$7:$AA$7</c:f>
              <c:numCache>
                <c:formatCode>General</c:formatCode>
                <c:ptCount val="7"/>
                <c:pt idx="0">
                  <c:v>0.46512000000000003</c:v>
                </c:pt>
                <c:pt idx="1">
                  <c:v>0.42432000000000003</c:v>
                </c:pt>
                <c:pt idx="2">
                  <c:v>0.38658000000000003</c:v>
                </c:pt>
                <c:pt idx="3">
                  <c:v>0.37331999999999999</c:v>
                </c:pt>
                <c:pt idx="4">
                  <c:v>0.38555999999999996</c:v>
                </c:pt>
                <c:pt idx="5">
                  <c:v>0.39984000000000003</c:v>
                </c:pt>
                <c:pt idx="6">
                  <c:v>0.40800000000000003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SABR!$N$4:$T$4</c:f>
              <c:numCache>
                <c:formatCode>General</c:formatCode>
                <c:ptCount val="7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</c:numCache>
            </c:numRef>
          </c:cat>
          <c:val>
            <c:numRef>
              <c:f>SABR!$U$17:$AA$17</c:f>
              <c:numCache>
                <c:formatCode>0.0000</c:formatCode>
                <c:ptCount val="7"/>
                <c:pt idx="0">
                  <c:v>0.46986859929547842</c:v>
                </c:pt>
                <c:pt idx="1">
                  <c:v>0.41676105925545215</c:v>
                </c:pt>
                <c:pt idx="2">
                  <c:v>0.38750415033363089</c:v>
                </c:pt>
                <c:pt idx="3">
                  <c:v>0.37877583260714459</c:v>
                </c:pt>
                <c:pt idx="4">
                  <c:v>0.38389647953398681</c:v>
                </c:pt>
                <c:pt idx="5">
                  <c:v>0.39587583637697299</c:v>
                </c:pt>
                <c:pt idx="6">
                  <c:v>0.41035039668446216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991520"/>
        <c:axId val="304193512"/>
      </c:lineChart>
      <c:catAx>
        <c:axId val="36099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93512"/>
        <c:crosses val="autoZero"/>
        <c:auto val="1"/>
        <c:lblAlgn val="ctr"/>
        <c:lblOffset val="100"/>
        <c:noMultiLvlLbl val="0"/>
      </c:catAx>
      <c:valAx>
        <c:axId val="30419351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99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76200</xdr:colOff>
      <xdr:row>16</xdr:row>
      <xdr:rowOff>123824</xdr:rowOff>
    </xdr:from>
    <xdr:ext cx="3695700" cy="10478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1639550" y="3238499"/>
              <a:ext cx="3695700" cy="1047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0" i="1">
                        <a:latin typeface="Cambria Math"/>
                      </a:rPr>
                      <m:t>𝑑</m:t>
                    </m:r>
                    <m:sSub>
                      <m:sSub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2000" b="0" i="1">
                            <a:latin typeface="Cambria Math"/>
                          </a:rPr>
                          <m:t>𝐹</m:t>
                        </m:r>
                      </m:e>
                      <m:sub>
                        <m:r>
                          <a:rPr lang="en-US" sz="2000" b="0" i="1">
                            <a:latin typeface="Cambria Math"/>
                          </a:rPr>
                          <m:t>𝑡</m:t>
                        </m:r>
                      </m:sub>
                    </m:sSub>
                    <m:r>
                      <a:rPr lang="en-US" sz="2000" b="0" i="1">
                        <a:latin typeface="Cambria Math"/>
                      </a:rPr>
                      <m:t>=</m:t>
                    </m:r>
                    <m:sSub>
                      <m:sSub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2000" b="0" i="1">
                            <a:latin typeface="Cambria Math"/>
                            <a:ea typeface="Cambria Math"/>
                          </a:rPr>
                          <m:t>𝜎</m:t>
                        </m:r>
                      </m:e>
                      <m:sub>
                        <m:r>
                          <a:rPr lang="en-US" sz="2000" b="0" i="1">
                            <a:latin typeface="Cambria Math"/>
                          </a:rPr>
                          <m:t>𝑡</m:t>
                        </m:r>
                      </m:sub>
                    </m:sSub>
                    <m:sSup>
                      <m:sSup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en-US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US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/>
                        </m:sSubSup>
                      </m:e>
                      <m:sup>
                        <m:r>
                          <a:rPr lang="en-US" sz="2000" b="0" i="1">
                            <a:latin typeface="Cambria Math"/>
                            <a:ea typeface="Cambria Math"/>
                          </a:rPr>
                          <m:t>𝛽</m:t>
                        </m:r>
                      </m:sup>
                    </m:sSup>
                    <m:r>
                      <a:rPr lang="en-US" sz="2000" b="0" i="1">
                        <a:latin typeface="Cambria Math"/>
                      </a:rPr>
                      <m:t>𝑑</m:t>
                    </m:r>
                    <m:sSub>
                      <m:sSub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2000" b="0" i="1">
                            <a:latin typeface="Cambria Math"/>
                          </a:rPr>
                          <m:t>𝑊</m:t>
                        </m:r>
                      </m:e>
                      <m:sub>
                        <m:r>
                          <a:rPr lang="en-US" sz="2000" b="0" i="1">
                            <a:latin typeface="Cambria Math"/>
                          </a:rPr>
                          <m:t>𝑡</m:t>
                        </m:r>
                      </m:sub>
                    </m:sSub>
                  </m:oMath>
                  <m:oMath xmlns:m="http://schemas.openxmlformats.org/officeDocument/2006/math">
                    <m:r>
                      <a:rPr lang="en-US" sz="2000" b="0" i="1">
                        <a:latin typeface="Cambria Math"/>
                      </a:rPr>
                      <m:t>𝑑</m:t>
                    </m:r>
                    <m:sSub>
                      <m:sSub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2000" b="0" i="1">
                            <a:latin typeface="Cambria Math"/>
                            <a:ea typeface="Cambria Math"/>
                          </a:rPr>
                          <m:t>𝜎</m:t>
                        </m:r>
                      </m:e>
                      <m:sub>
                        <m:r>
                          <a:rPr lang="en-US" sz="2000" b="0" i="1">
                            <a:latin typeface="Cambria Math"/>
                          </a:rPr>
                          <m:t>𝑡</m:t>
                        </m:r>
                      </m:sub>
                    </m:sSub>
                    <m:r>
                      <a:rPr lang="en-US" sz="2000" b="0" i="1">
                        <a:latin typeface="Cambria Math"/>
                      </a:rPr>
                      <m:t>=</m:t>
                    </m:r>
                    <m:r>
                      <a:rPr lang="en-US" sz="2000" b="0" i="1">
                        <a:latin typeface="Cambria Math"/>
                        <a:ea typeface="Cambria Math"/>
                      </a:rPr>
                      <m:t>𝛼</m:t>
                    </m:r>
                    <m:sSub>
                      <m:sSubPr>
                        <m:ctrlPr>
                          <a:rPr lang="en-US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20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US" sz="20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𝑑</m:t>
                    </m:r>
                    <m:sSub>
                      <m:sSubPr>
                        <m:ctrlPr>
                          <a:rPr lang="en-US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20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𝑍</m:t>
                        </m:r>
                      </m:e>
                      <m:sub>
                        <m:r>
                          <a:rPr lang="en-US" sz="20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</m:oMath>
                  <m:oMath xmlns:m="http://schemas.openxmlformats.org/officeDocument/2006/math"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𝛼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≥0,0≤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𝛽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≤1,−1&lt;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𝜌</m:t>
                    </m:r>
                    <m:r>
                      <a:rPr lang="en-US" sz="20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&lt;1</m:t>
                    </m:r>
                  </m:oMath>
                </m:oMathPara>
              </a14:m>
              <a:endParaRPr lang="en-US" sz="2000" b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1639550" y="3238499"/>
              <a:ext cx="3695700" cy="1047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2000" b="0" i="0">
                  <a:latin typeface="Cambria Math"/>
                </a:rPr>
                <a:t>𝑑𝐹_𝑡=</a:t>
              </a:r>
              <a:r>
                <a:rPr lang="en-US" sz="2000" b="0" i="0">
                  <a:latin typeface="Cambria Math"/>
                  <a:ea typeface="Cambria Math"/>
                </a:rPr>
                <a:t>𝜎_</a:t>
              </a:r>
              <a:r>
                <a:rPr lang="en-US" sz="2000" b="0" i="0">
                  <a:latin typeface="Cambria Math"/>
                </a:rPr>
                <a:t>𝑡 〖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𝐹_𝑡^ 〗^</a:t>
              </a:r>
              <a:r>
                <a:rPr lang="en-US" sz="2000" b="0" i="0">
                  <a:latin typeface="Cambria Math"/>
                  <a:ea typeface="Cambria Math"/>
                </a:rPr>
                <a:t>𝛽 </a:t>
              </a:r>
              <a:r>
                <a:rPr lang="en-US" sz="2000" b="0" i="0">
                  <a:latin typeface="Cambria Math"/>
                </a:rPr>
                <a:t>𝑑𝑊_𝑡</a:t>
              </a:r>
              <a:r>
                <a:rPr lang="en-US" sz="2000" b="0" i="1">
                  <a:latin typeface="Cambria Math"/>
                </a:rPr>
                <a:t/>
              </a:r>
              <a:br>
                <a:rPr lang="en-US" sz="2000" b="0" i="1">
                  <a:latin typeface="Cambria Math"/>
                </a:rPr>
              </a:br>
              <a:r>
                <a:rPr lang="en-US" sz="2000" b="0" i="0">
                  <a:latin typeface="Cambria Math"/>
                </a:rPr>
                <a:t>𝑑</a:t>
              </a:r>
              <a:r>
                <a:rPr lang="en-US" sz="2000" b="0" i="0">
                  <a:latin typeface="Cambria Math"/>
                  <a:ea typeface="Cambria Math"/>
                </a:rPr>
                <a:t>𝜎_</a:t>
              </a:r>
              <a:r>
                <a:rPr lang="en-US" sz="2000" b="0" i="0">
                  <a:latin typeface="Cambria Math"/>
                </a:rPr>
                <a:t>𝑡=</a:t>
              </a:r>
              <a:r>
                <a:rPr lang="en-US" sz="2000" b="0" i="0">
                  <a:latin typeface="Cambria Math"/>
                  <a:ea typeface="Cambria Math"/>
                </a:rPr>
                <a:t>𝛼</a:t>
              </a:r>
              <a:r>
                <a:rPr lang="en-US" sz="2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𝜎_𝑡 𝑑𝑍_𝑡</a:t>
              </a:r>
              <a:r>
                <a:rPr lang="en-US" sz="2000" b="0" i="1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/>
              </a:r>
              <a:br>
                <a:rPr lang="en-US" sz="2000" b="0" i="1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</a:br>
              <a:r>
                <a:rPr lang="en-US" sz="20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𝛼≥0,0≤𝛽≤1,−1&lt;𝜌&lt;1</a:t>
              </a:r>
              <a:endParaRPr lang="en-US" sz="2000" b="0"/>
            </a:p>
          </xdr:txBody>
        </xdr:sp>
      </mc:Fallback>
    </mc:AlternateContent>
    <xdr:clientData/>
  </xdr:oneCellAnchor>
  <xdr:twoCellAnchor>
    <xdr:from>
      <xdr:col>13</xdr:col>
      <xdr:colOff>457200</xdr:colOff>
      <xdr:row>0</xdr:row>
      <xdr:rowOff>123825</xdr:rowOff>
    </xdr:from>
    <xdr:to>
      <xdr:col>21</xdr:col>
      <xdr:colOff>152400</xdr:colOff>
      <xdr:row>14</xdr:row>
      <xdr:rowOff>142875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447675</xdr:colOff>
      <xdr:row>15</xdr:row>
      <xdr:rowOff>38100</xdr:rowOff>
    </xdr:from>
    <xdr:to>
      <xdr:col>21</xdr:col>
      <xdr:colOff>142875</xdr:colOff>
      <xdr:row>29</xdr:row>
      <xdr:rowOff>114300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485775</xdr:colOff>
      <xdr:row>30</xdr:row>
      <xdr:rowOff>133350</xdr:rowOff>
    </xdr:from>
    <xdr:to>
      <xdr:col>21</xdr:col>
      <xdr:colOff>180975</xdr:colOff>
      <xdr:row>45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495300</xdr:colOff>
      <xdr:row>46</xdr:row>
      <xdr:rowOff>19050</xdr:rowOff>
    </xdr:from>
    <xdr:to>
      <xdr:col>21</xdr:col>
      <xdr:colOff>190500</xdr:colOff>
      <xdr:row>60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0</xdr:row>
      <xdr:rowOff>176212</xdr:rowOff>
    </xdr:from>
    <xdr:to>
      <xdr:col>6</xdr:col>
      <xdr:colOff>552450</xdr:colOff>
      <xdr:row>15</xdr:row>
      <xdr:rowOff>61912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31</xdr:row>
      <xdr:rowOff>152398</xdr:rowOff>
    </xdr:from>
    <xdr:to>
      <xdr:col>18</xdr:col>
      <xdr:colOff>531018</xdr:colOff>
      <xdr:row>56</xdr:row>
      <xdr:rowOff>54768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50006</xdr:colOff>
      <xdr:row>31</xdr:row>
      <xdr:rowOff>164304</xdr:rowOff>
    </xdr:from>
    <xdr:to>
      <xdr:col>31</xdr:col>
      <xdr:colOff>261938</xdr:colOff>
      <xdr:row>56</xdr:row>
      <xdr:rowOff>66674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428625</xdr:colOff>
      <xdr:row>15</xdr:row>
      <xdr:rowOff>161925</xdr:rowOff>
    </xdr:from>
    <xdr:to>
      <xdr:col>6</xdr:col>
      <xdr:colOff>542925</xdr:colOff>
      <xdr:row>30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419100</xdr:colOff>
      <xdr:row>31</xdr:row>
      <xdr:rowOff>76200</xdr:rowOff>
    </xdr:from>
    <xdr:to>
      <xdr:col>6</xdr:col>
      <xdr:colOff>533400</xdr:colOff>
      <xdr:row>46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23</xdr:row>
          <xdr:rowOff>171450</xdr:rowOff>
        </xdr:from>
        <xdr:to>
          <xdr:col>18</xdr:col>
          <xdr:colOff>428625</xdr:colOff>
          <xdr:row>29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412750</xdr:colOff>
      <xdr:row>46</xdr:row>
      <xdr:rowOff>174625</xdr:rowOff>
    </xdr:from>
    <xdr:to>
      <xdr:col>6</xdr:col>
      <xdr:colOff>527050</xdr:colOff>
      <xdr:row>61</xdr:row>
      <xdr:rowOff>127000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23</xdr:row>
          <xdr:rowOff>123825</xdr:rowOff>
        </xdr:from>
        <xdr:to>
          <xdr:col>13</xdr:col>
          <xdr:colOff>95250</xdr:colOff>
          <xdr:row>29</xdr:row>
          <xdr:rowOff>57150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Publish Curve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40"/>
  <sheetViews>
    <sheetView zoomScale="70" zoomScaleNormal="70" workbookViewId="0">
      <selection activeCell="AF10" sqref="AF10"/>
    </sheetView>
  </sheetViews>
  <sheetFormatPr defaultRowHeight="15" x14ac:dyDescent="0.25"/>
  <cols>
    <col min="1" max="1" width="9.7109375" customWidth="1"/>
    <col min="2" max="4" width="9.7109375" hidden="1" customWidth="1"/>
    <col min="5" max="5" width="10.140625" hidden="1" customWidth="1"/>
    <col min="6" max="6" width="17" customWidth="1"/>
    <col min="13" max="13" width="9.5703125" customWidth="1"/>
    <col min="23" max="23" width="10.28515625" customWidth="1"/>
    <col min="24" max="25" width="12" customWidth="1"/>
    <col min="28" max="28" width="10.140625" customWidth="1"/>
    <col min="29" max="29" width="12" bestFit="1" customWidth="1"/>
  </cols>
  <sheetData>
    <row r="1" spans="1:30" x14ac:dyDescent="0.25">
      <c r="A1" s="68" t="s">
        <v>5</v>
      </c>
      <c r="B1" s="69"/>
      <c r="C1" s="69"/>
      <c r="D1" s="69"/>
      <c r="E1" s="69"/>
      <c r="F1" s="69" t="s">
        <v>0</v>
      </c>
      <c r="G1" s="70">
        <v>0.02</v>
      </c>
      <c r="H1" s="70">
        <v>2.5000000000000001E-2</v>
      </c>
      <c r="I1" s="70">
        <v>0.03</v>
      </c>
      <c r="J1" s="70">
        <v>3.5000000000000003E-2</v>
      </c>
      <c r="K1" s="70">
        <v>0.04</v>
      </c>
      <c r="L1" s="70">
        <v>4.4999999999999998E-2</v>
      </c>
      <c r="M1" s="71">
        <v>0.05</v>
      </c>
      <c r="W1" s="10" t="s">
        <v>13</v>
      </c>
      <c r="X1" s="16">
        <v>42129</v>
      </c>
      <c r="Y1" s="17" t="b">
        <v>1</v>
      </c>
    </row>
    <row r="2" spans="1:30" x14ac:dyDescent="0.25">
      <c r="A2" s="72">
        <v>0.01</v>
      </c>
      <c r="B2" s="64">
        <f>A2</f>
        <v>0.01</v>
      </c>
      <c r="C2" s="64">
        <f>$X$9</f>
        <v>0.50000000000000011</v>
      </c>
      <c r="D2" s="64">
        <f>$X$10</f>
        <v>0.75856980659593132</v>
      </c>
      <c r="E2" s="64">
        <f>$X$11</f>
        <v>0.20840173363401907</v>
      </c>
      <c r="F2" s="64" t="str">
        <f>IF(Y1,_xll.qlModelSABR("SABR_"&amp;A1&amp;"_"&amp;A2,$X$3,$Y$2,$X$13:$AD$13,$X$14:$AD$14,B2:E2,$Y$8:$Y$11),"")</f>
        <v>MODEL@SABR_alpha_0.01#21:38:20</v>
      </c>
      <c r="G2" s="64">
        <f>_xll.qlModelGetSABRInterpolatedValue($F2,G$1)</f>
        <v>0.15619862495185194</v>
      </c>
      <c r="H2" s="64">
        <f>_xll.qlModelGetSABRInterpolatedValue($F2,H$1)</f>
        <v>0.11247490054929696</v>
      </c>
      <c r="I2" s="64">
        <f>_xll.qlModelGetSABRInterpolatedValue($F2,I$1)</f>
        <v>7.512923175483012E-2</v>
      </c>
      <c r="J2" s="64">
        <f>_xll.qlModelGetSABRInterpolatedValue($F2,J$1)</f>
        <v>5.5906477631085222E-2</v>
      </c>
      <c r="K2" s="64">
        <f>_xll.qlModelGetSABRInterpolatedValue($F2,K$1)</f>
        <v>7.994401926707792E-2</v>
      </c>
      <c r="L2" s="64">
        <f>_xll.qlModelGetSABRInterpolatedValue($F2,L$1)</f>
        <v>0.1045226434933622</v>
      </c>
      <c r="M2" s="65">
        <f>_xll.qlModelGetSABRInterpolatedValue($F2,M$1)</f>
        <v>0.12509996982754221</v>
      </c>
      <c r="W2" s="8" t="s">
        <v>2</v>
      </c>
      <c r="X2" s="18">
        <f>X1+365</f>
        <v>42494</v>
      </c>
      <c r="Y2" s="19">
        <f>_xll.qlTimeYearFraction(X1,X2,"ACTUAL365")</f>
        <v>1</v>
      </c>
    </row>
    <row r="3" spans="1:30" x14ac:dyDescent="0.25">
      <c r="A3" s="72">
        <v>0.02</v>
      </c>
      <c r="B3" s="64">
        <f t="shared" ref="B3:B10" si="0">A3</f>
        <v>0.02</v>
      </c>
      <c r="C3" s="64">
        <f t="shared" ref="C3:C10" si="1">$X$9</f>
        <v>0.50000000000000011</v>
      </c>
      <c r="D3" s="64">
        <f t="shared" ref="D3:D10" si="2">$X$10</f>
        <v>0.75856980659593132</v>
      </c>
      <c r="E3" s="64">
        <f t="shared" ref="E3:E10" si="3">$X$11</f>
        <v>0.20840173363401907</v>
      </c>
      <c r="F3" s="64" t="str">
        <f>IF(Y1,_xll.qlModelSABR("SABR_"&amp;A1&amp;"_"&amp;A3,$X$3,$Y$2,$X$13:$AD$13,$X$14:$AD$14,B3:E3,$Y$8:$Y$11),"")</f>
        <v>MODEL@SABR_alpha_0.02#21:38:50</v>
      </c>
      <c r="G3" s="64">
        <f>_xll.qlModelGetSABRInterpolatedValue($F3,G$1)</f>
        <v>0.2084943854566767</v>
      </c>
      <c r="H3" s="64">
        <f>_xll.qlModelGetSABRInterpolatedValue($F3,H$1)</f>
        <v>0.15997211292485006</v>
      </c>
      <c r="I3" s="64">
        <f>_xll.qlModelGetSABRInterpolatedValue($F3,I$1)</f>
        <v>0.12332747956342899</v>
      </c>
      <c r="J3" s="64">
        <f>_xll.qlModelGetSABRInterpolatedValue($F3,J$1)</f>
        <v>0.11193541977993662</v>
      </c>
      <c r="K3" s="64">
        <f>_xll.qlModelGetSABRInterpolatedValue($F3,K$1)</f>
        <v>0.13028003492674184</v>
      </c>
      <c r="L3" s="64">
        <f>_xll.qlModelGetSABRInterpolatedValue($F3,L$1)</f>
        <v>0.15351744571178907</v>
      </c>
      <c r="M3" s="65">
        <f>_xll.qlModelGetSABRInterpolatedValue($F3,M$1)</f>
        <v>0.17458916223283225</v>
      </c>
      <c r="W3" s="8" t="s">
        <v>8</v>
      </c>
      <c r="X3" s="9">
        <v>3.5000000000000003E-2</v>
      </c>
      <c r="Y3" s="20"/>
      <c r="AB3" t="str">
        <f t="array" ref="AB3:AC9">_xll.qlModelGetSABRCalibratedParameters(F38)</f>
        <v>alpha:</v>
      </c>
      <c r="AC3">
        <v>6.0050488724988818E-2</v>
      </c>
    </row>
    <row r="4" spans="1:30" ht="15.75" thickBot="1" x14ac:dyDescent="0.3">
      <c r="A4" s="72">
        <v>0.03</v>
      </c>
      <c r="B4" s="64">
        <f t="shared" si="0"/>
        <v>0.03</v>
      </c>
      <c r="C4" s="64">
        <f t="shared" si="1"/>
        <v>0.50000000000000011</v>
      </c>
      <c r="D4" s="64">
        <f t="shared" si="2"/>
        <v>0.75856980659593132</v>
      </c>
      <c r="E4" s="64">
        <f t="shared" si="3"/>
        <v>0.20840173363401907</v>
      </c>
      <c r="F4" s="64" t="str">
        <f>IF(Y1,_xll.qlModelSABR("SABR_"&amp;A1&amp;"_"&amp;A4,$X$3,$Y$2,$X$13:$AD$13,$X$14:$AD$14,B4:E4,$Y$8:$Y$11),"")</f>
        <v>MODEL@SABR_alpha_0.03#21:38:53</v>
      </c>
      <c r="G4" s="64">
        <f>_xll.qlModelGetSABRInterpolatedValue($F4,G$1)</f>
        <v>0.25859421718892622</v>
      </c>
      <c r="H4" s="64">
        <f>_xll.qlModelGetSABRInterpolatedValue($F4,H$1)</f>
        <v>0.20891777772709974</v>
      </c>
      <c r="I4" s="64">
        <f>_xll.qlModelGetSABRInterpolatedValue($F4,I$1)</f>
        <v>0.17595483469513495</v>
      </c>
      <c r="J4" s="64">
        <f>_xll.qlModelGetSABRInterpolatedValue($F4,J$1)</f>
        <v>0.16809637149090823</v>
      </c>
      <c r="K4" s="64">
        <f>_xll.qlModelGetSABRInterpolatedValue($F4,K$1)</f>
        <v>0.18205304702399039</v>
      </c>
      <c r="L4" s="64">
        <f>_xll.qlModelGetSABRInterpolatedValue($F4,L$1)</f>
        <v>0.20221831742500562</v>
      </c>
      <c r="M4" s="65">
        <f>_xll.qlModelGetSABRInterpolatedValue($F4,M$1)</f>
        <v>0.22198279188214948</v>
      </c>
      <c r="W4" s="6" t="s">
        <v>9</v>
      </c>
      <c r="X4" s="7">
        <v>0.36599999999999999</v>
      </c>
      <c r="Y4" s="21"/>
      <c r="AB4" t="str">
        <v>beta:</v>
      </c>
      <c r="AC4">
        <v>0.50000000000000011</v>
      </c>
    </row>
    <row r="5" spans="1:30" x14ac:dyDescent="0.25">
      <c r="A5" s="72">
        <v>0.04</v>
      </c>
      <c r="B5" s="64">
        <f t="shared" si="0"/>
        <v>0.04</v>
      </c>
      <c r="C5" s="64">
        <f t="shared" si="1"/>
        <v>0.50000000000000011</v>
      </c>
      <c r="D5" s="64">
        <f t="shared" si="2"/>
        <v>0.75856980659593132</v>
      </c>
      <c r="E5" s="64">
        <f t="shared" si="3"/>
        <v>0.20840173363401907</v>
      </c>
      <c r="F5" s="64" t="str">
        <f>IF(Y1,_xll.qlModelSABR("SABR_"&amp;A1&amp;"_"&amp;A5,$X$3,$Y$2,$X$13:$AD$13,$X$14:$AD$14,B5:E5,$Y$8:$Y$11),"")</f>
        <v>MODEL@SABR_alpha_0.04#21:39:10</v>
      </c>
      <c r="G5" s="64">
        <f>_xll.qlModelGetSABRInterpolatedValue($F5,G$1)</f>
        <v>0.30975936847675628</v>
      </c>
      <c r="H5" s="64">
        <f>_xll.qlModelGetSABRInterpolatedValue($F5,H$1)</f>
        <v>0.26063038531284921</v>
      </c>
      <c r="I5" s="64">
        <f>_xll.qlModelGetSABRInterpolatedValue($F5,I$1)</f>
        <v>0.23110840953695397</v>
      </c>
      <c r="J5" s="64">
        <f>_xll.qlModelGetSABRInterpolatedValue($F5,J$1)</f>
        <v>0.22439887780835396</v>
      </c>
      <c r="K5" s="64">
        <f>_xll.qlModelGetSABRInterpolatedValue($F5,K$1)</f>
        <v>0.23484313290765627</v>
      </c>
      <c r="L5" s="64">
        <f>_xll.qlModelGetSABRInterpolatedValue($F5,L$1)</f>
        <v>0.25172236523102015</v>
      </c>
      <c r="M5" s="65">
        <f>_xll.qlModelGetSABRInterpolatedValue($F5,M$1)</f>
        <v>0.26945187693172024</v>
      </c>
      <c r="W5" s="5"/>
      <c r="AB5" t="str">
        <v>nu:</v>
      </c>
      <c r="AC5">
        <v>0.75856980659593132</v>
      </c>
    </row>
    <row r="6" spans="1:30" ht="15.75" thickBot="1" x14ac:dyDescent="0.3">
      <c r="A6" s="72">
        <v>0.05</v>
      </c>
      <c r="B6" s="64">
        <f t="shared" si="0"/>
        <v>0.05</v>
      </c>
      <c r="C6" s="64">
        <f t="shared" si="1"/>
        <v>0.50000000000000011</v>
      </c>
      <c r="D6" s="64">
        <f t="shared" si="2"/>
        <v>0.75856980659593132</v>
      </c>
      <c r="E6" s="64">
        <f t="shared" si="3"/>
        <v>0.20840173363401907</v>
      </c>
      <c r="F6" s="64" t="str">
        <f>IF(Y1,_xll.qlModelSABR("SABR_"&amp;A1&amp;"_"&amp;A6,$X$3,$Y$2,$X$13:$AD$13,$X$14:$AD$14,B6:E6,$Y$8:$Y$11),"")</f>
        <v>MODEL@SABR_alpha_0.05#21:39:11</v>
      </c>
      <c r="G6" s="64">
        <f>_xll.qlModelGetSABRInterpolatedValue($F6,G$1)</f>
        <v>0.36280535668217861</v>
      </c>
      <c r="H6" s="64">
        <f>_xll.qlModelGetSABRInterpolatedValue($F6,H$1)</f>
        <v>0.31480264912234474</v>
      </c>
      <c r="I6" s="64">
        <f>_xll.qlModelGetSABRInterpolatedValue($F6,I$1)</f>
        <v>0.28765639672726739</v>
      </c>
      <c r="J6" s="64">
        <f>_xll.qlModelGetSABRInterpolatedValue($F6,J$1)</f>
        <v>0.28085248377662797</v>
      </c>
      <c r="K6" s="64">
        <f>_xll.qlModelGetSABRInterpolatedValue($F6,K$1)</f>
        <v>0.28829180633349172</v>
      </c>
      <c r="L6" s="64">
        <f>_xll.qlModelGetSABRInterpolatedValue($F6,L$1)</f>
        <v>0.30204404905876808</v>
      </c>
      <c r="M6" s="65">
        <f>_xll.qlModelGetSABRInterpolatedValue($F6,M$1)</f>
        <v>0.31747069993339211</v>
      </c>
      <c r="AB6" t="str">
        <v>rho:</v>
      </c>
      <c r="AC6">
        <v>0.4</v>
      </c>
    </row>
    <row r="7" spans="1:30" ht="15.75" thickBot="1" x14ac:dyDescent="0.3">
      <c r="A7" s="72">
        <v>0.06</v>
      </c>
      <c r="B7" s="64">
        <f t="shared" si="0"/>
        <v>0.06</v>
      </c>
      <c r="C7" s="64">
        <f t="shared" si="1"/>
        <v>0.50000000000000011</v>
      </c>
      <c r="D7" s="64">
        <f t="shared" si="2"/>
        <v>0.75856980659593132</v>
      </c>
      <c r="E7" s="64">
        <f t="shared" si="3"/>
        <v>0.20840173363401907</v>
      </c>
      <c r="F7" s="64" t="str">
        <f>IF(Y1,_xll.qlModelSABR("SABR_"&amp;A1&amp;"_"&amp;A7,$X$3,$Y$2,$X$13:$AD$13,$X$14:$AD$14,B7:E7,$Y$8:$Y$11),"")</f>
        <v>MODEL@SABR_alpha_0.06#21:39:12</v>
      </c>
      <c r="G7" s="64">
        <f>_xll.qlModelGetSABRInterpolatedValue($F7,G$1)</f>
        <v>0.41783176930537019</v>
      </c>
      <c r="H7" s="64">
        <f>_xll.qlModelGetSABRInterpolatedValue($F7,H$1)</f>
        <v>0.37089482142026031</v>
      </c>
      <c r="I7" s="64">
        <f>_xll.qlModelGetSABRInterpolatedValue($F7,I$1)</f>
        <v>0.34505987279864098</v>
      </c>
      <c r="J7" s="64">
        <f>_xll.qlModelGetSABRInterpolatedValue($F7,J$1)</f>
        <v>0.33746673444008418</v>
      </c>
      <c r="K7" s="64">
        <f>_xll.qlModelGetSABRInterpolatedValue($F7,K$1)</f>
        <v>0.34220510477892435</v>
      </c>
      <c r="L7" s="64">
        <f>_xll.qlModelGetSABRInterpolatedValue($F7,L$1)</f>
        <v>0.35305114223600875</v>
      </c>
      <c r="M7" s="65">
        <f>_xll.qlModelGetSABRInterpolatedValue($F7,M$1)</f>
        <v>0.36611379322189669</v>
      </c>
      <c r="W7" s="12" t="s">
        <v>16</v>
      </c>
      <c r="X7" s="14" t="s">
        <v>11</v>
      </c>
      <c r="Y7" s="15" t="s">
        <v>12</v>
      </c>
      <c r="AB7" t="str">
        <v>rmsError:</v>
      </c>
      <c r="AC7">
        <v>3.4028234663852886E+38</v>
      </c>
    </row>
    <row r="8" spans="1:30" x14ac:dyDescent="0.25">
      <c r="A8" s="72">
        <v>7.0000000000000007E-2</v>
      </c>
      <c r="B8" s="64">
        <f t="shared" si="0"/>
        <v>7.0000000000000007E-2</v>
      </c>
      <c r="C8" s="64">
        <f t="shared" si="1"/>
        <v>0.50000000000000011</v>
      </c>
      <c r="D8" s="64">
        <f t="shared" si="2"/>
        <v>0.75856980659593132</v>
      </c>
      <c r="E8" s="64">
        <f t="shared" si="3"/>
        <v>0.20840173363401907</v>
      </c>
      <c r="F8" s="64" t="str">
        <f>IF(Y1,_xll.qlModelSABR("SABR_"&amp;A1&amp;"_"&amp;A8,$X$3,$Y$2,$X$13:$AD$13,$X$14:$AD$14,B8:E8,$Y$8:$Y$11),"")</f>
        <v>MODEL@SABR_alpha_0.07#21:39:13</v>
      </c>
      <c r="G8" s="64">
        <f>_xll.qlModelGetSABRInterpolatedValue($F8,G$1)</f>
        <v>0.47468678179192136</v>
      </c>
      <c r="H8" s="64">
        <f>_xll.qlModelGetSABRInterpolatedValue($F8,H$1)</f>
        <v>0.42844722999864743</v>
      </c>
      <c r="I8" s="64">
        <f>_xll.qlModelGetSABRInterpolatedValue($F8,I$1)</f>
        <v>0.40305505735161529</v>
      </c>
      <c r="J8" s="64">
        <f>_xll.qlModelGetSABRInterpolatedValue($F8,J$1)</f>
        <v>0.39425117484307676</v>
      </c>
      <c r="K8" s="64">
        <f>_xll.qlModelGetSABRInterpolatedValue($F8,K$1)</f>
        <v>0.39647910758890359</v>
      </c>
      <c r="L8" s="64">
        <f>_xll.qlModelGetSABRInterpolatedValue($F8,L$1)</f>
        <v>0.40461962092611697</v>
      </c>
      <c r="M8" s="65">
        <f>_xll.qlModelGetSABRInterpolatedValue($F8,M$1)</f>
        <v>0.41534597181676169</v>
      </c>
      <c r="W8" s="8" t="s">
        <v>5</v>
      </c>
      <c r="X8" s="62">
        <v>6.0050488724988818E-2</v>
      </c>
      <c r="Y8" s="61" t="b">
        <v>1</v>
      </c>
      <c r="AB8" t="str">
        <v>maxError:</v>
      </c>
      <c r="AC8">
        <v>3.4028234663852886E+38</v>
      </c>
    </row>
    <row r="9" spans="1:30" x14ac:dyDescent="0.25">
      <c r="A9" s="72">
        <v>0.08</v>
      </c>
      <c r="B9" s="64">
        <f t="shared" si="0"/>
        <v>0.08</v>
      </c>
      <c r="C9" s="64">
        <f t="shared" si="1"/>
        <v>0.50000000000000011</v>
      </c>
      <c r="D9" s="64">
        <f t="shared" si="2"/>
        <v>0.75856980659593132</v>
      </c>
      <c r="E9" s="64">
        <f t="shared" si="3"/>
        <v>0.20840173363401907</v>
      </c>
      <c r="F9" s="64" t="str">
        <f>IF(Y1,_xll.qlModelSABR("SABR_"&amp;A1&amp;"_"&amp;A9,$X$3,$Y$2,$X$13:$AD$13,$X$14:$AD$14,B9:E9,$Y$8:$Y$11),"")</f>
        <v>MODEL@SABR_alpha_0.08#21:39:13</v>
      </c>
      <c r="G9" s="64">
        <f>_xll.qlModelGetSABRInterpolatedValue($F9,G$1)</f>
        <v>0.53314673404721635</v>
      </c>
      <c r="H9" s="64">
        <f>_xll.qlModelGetSABRInterpolatedValue($F9,H$1)</f>
        <v>0.48712491032446975</v>
      </c>
      <c r="I9" s="64">
        <f>_xll.qlModelGetSABRInterpolatedValue($F9,I$1)</f>
        <v>0.46150521996210231</v>
      </c>
      <c r="J9" s="64">
        <f>_xll.qlModelGetSABRInterpolatedValue($F9,J$1)</f>
        <v>0.45121535002995938</v>
      </c>
      <c r="K9" s="64">
        <f>_xll.qlModelGetSABRInterpolatedValue($F9,K$1)</f>
        <v>0.45105665476414247</v>
      </c>
      <c r="L9" s="64">
        <f>_xll.qlModelGetSABRInterpolatedValue($F9,L$1)</f>
        <v>0.45665600440679338</v>
      </c>
      <c r="M9" s="65">
        <f>_xll.qlModelGetSABRInterpolatedValue($F9,M$1)</f>
        <v>0.46510751149429824</v>
      </c>
      <c r="W9" s="8" t="s">
        <v>6</v>
      </c>
      <c r="X9" s="62">
        <v>0.50000000000000011</v>
      </c>
      <c r="Y9" s="61" t="b">
        <v>1</v>
      </c>
      <c r="AB9" t="e">
        <v>#N/A</v>
      </c>
      <c r="AC9" t="e">
        <v>#N/A</v>
      </c>
    </row>
    <row r="10" spans="1:30" ht="15.75" thickBot="1" x14ac:dyDescent="0.3">
      <c r="A10" s="73">
        <v>0.09</v>
      </c>
      <c r="B10" s="66">
        <f t="shared" si="0"/>
        <v>0.09</v>
      </c>
      <c r="C10" s="66">
        <f t="shared" si="1"/>
        <v>0.50000000000000011</v>
      </c>
      <c r="D10" s="66">
        <f t="shared" si="2"/>
        <v>0.75856980659593132</v>
      </c>
      <c r="E10" s="66">
        <f t="shared" si="3"/>
        <v>0.20840173363401907</v>
      </c>
      <c r="F10" s="66" t="str">
        <f>IF(Y1,_xll.qlModelSABR("SABR_"&amp;A1&amp;"_"&amp;A10,$X$3,$Y$2,$X$13:$AD$13,$X$14:$AD$14,B10:E10,$Y$8:$Y$11),"")</f>
        <v>MODEL@SABR_alpha_0.09#21:39:14</v>
      </c>
      <c r="G10" s="66">
        <f>_xll.qlModelGetSABRInterpolatedValue($F10,G$1)</f>
        <v>0.59299015181452597</v>
      </c>
      <c r="H10" s="66">
        <f>_xll.qlModelGetSABRInterpolatedValue($F10,H$1)</f>
        <v>0.54669593441800202</v>
      </c>
      <c r="I10" s="66">
        <f>_xll.qlModelGetSABRInterpolatedValue($F10,I$1)</f>
        <v>0.52033617148924405</v>
      </c>
      <c r="J10" s="66">
        <f>_xll.qlModelGetSABRInterpolatedValue($F10,J$1)</f>
        <v>0.50836880504508641</v>
      </c>
      <c r="K10" s="66">
        <f>_xll.qlModelGetSABRInterpolatedValue($F10,K$1)</f>
        <v>0.50590584966568541</v>
      </c>
      <c r="L10" s="66">
        <f>_xll.qlModelGetSABRInterpolatedValue($F10,L$1)</f>
        <v>0.50909392509652218</v>
      </c>
      <c r="M10" s="67">
        <f>_xll.qlModelGetSABRInterpolatedValue($F10,M$1)</f>
        <v>0.51534058205179911</v>
      </c>
      <c r="W10" s="8" t="s">
        <v>10</v>
      </c>
      <c r="X10" s="62">
        <v>0.75856980659593132</v>
      </c>
      <c r="Y10" s="61" t="b">
        <v>1</v>
      </c>
    </row>
    <row r="11" spans="1:30" ht="15.75" thickBot="1" x14ac:dyDescent="0.3">
      <c r="A11" s="68" t="s">
        <v>6</v>
      </c>
      <c r="B11" s="69"/>
      <c r="C11" s="69"/>
      <c r="D11" s="69"/>
      <c r="E11" s="69"/>
      <c r="F11" s="69" t="s">
        <v>0</v>
      </c>
      <c r="G11" s="70">
        <v>0.02</v>
      </c>
      <c r="H11" s="70">
        <v>2.5000000000000001E-2</v>
      </c>
      <c r="I11" s="70">
        <v>0.03</v>
      </c>
      <c r="J11" s="70">
        <v>3.5000000000000003E-2</v>
      </c>
      <c r="K11" s="70">
        <v>0.04</v>
      </c>
      <c r="L11" s="70">
        <v>4.4999999999999998E-2</v>
      </c>
      <c r="M11" s="71">
        <v>0.05</v>
      </c>
      <c r="W11" s="6" t="s">
        <v>7</v>
      </c>
      <c r="X11" s="63">
        <v>0.20840173363401907</v>
      </c>
      <c r="Y11" s="60" t="b">
        <v>1</v>
      </c>
    </row>
    <row r="12" spans="1:30" ht="15.75" thickBot="1" x14ac:dyDescent="0.3">
      <c r="A12" s="72">
        <v>0.1</v>
      </c>
      <c r="B12" s="64">
        <f>$X$8</f>
        <v>6.0050488724988818E-2</v>
      </c>
      <c r="C12" s="64">
        <f>A12</f>
        <v>0.1</v>
      </c>
      <c r="D12" s="64">
        <f>$X$10</f>
        <v>0.75856980659593132</v>
      </c>
      <c r="E12" s="64">
        <f>$X$11</f>
        <v>0.20840173363401907</v>
      </c>
      <c r="F12" s="64" t="str">
        <f>IF(Y1,_xll.qlModelSABR("SABR_"&amp;A11&amp;"_"&amp;A12,$X$3,$Y$2,$X$13:$AD$13,$X$14:$AD$14,B12:E12,$Y$8:$Y$11),"")</f>
        <v>MODEL@SABR_beta_0.1#21:40:12</v>
      </c>
      <c r="G12" s="64">
        <f>_xll.qlModelGetSABRInterpolatedValue($F12,G$1)</f>
        <v>1.7442937228321489</v>
      </c>
      <c r="H12" s="64">
        <f>_xll.qlModelGetSABRInterpolatedValue($F12,H$1)</f>
        <v>1.5703711798791047</v>
      </c>
      <c r="I12" s="64">
        <f>_xll.qlModelGetSABRInterpolatedValue($F12,I$1)</f>
        <v>1.4449057926344124</v>
      </c>
      <c r="J12" s="64">
        <f>_xll.qlModelGetSABRInterpolatedValue($F12,J$1)</f>
        <v>1.3503370426227661</v>
      </c>
      <c r="K12" s="64">
        <f>_xll.qlModelGetSABRInterpolatedValue($F12,K$1)</f>
        <v>1.2768708234477688</v>
      </c>
      <c r="L12" s="64">
        <f>_xll.qlModelGetSABRInterpolatedValue($F12,L$1)</f>
        <v>1.2184924552304213</v>
      </c>
      <c r="M12" s="65">
        <f>_xll.qlModelGetSABRInterpolatedValue($F12,M$1)</f>
        <v>1.1712531412154699</v>
      </c>
    </row>
    <row r="13" spans="1:30" x14ac:dyDescent="0.25">
      <c r="A13" s="72">
        <v>0.2</v>
      </c>
      <c r="B13" s="64">
        <f t="shared" ref="B13:B20" si="4">$X$8</f>
        <v>6.0050488724988818E-2</v>
      </c>
      <c r="C13" s="64">
        <f t="shared" ref="C13:C20" si="5">A13</f>
        <v>0.2</v>
      </c>
      <c r="D13" s="64">
        <f t="shared" ref="D13:D20" si="6">$X$10</f>
        <v>0.75856980659593132</v>
      </c>
      <c r="E13" s="64">
        <f t="shared" ref="E13:E20" si="7">$X$11</f>
        <v>0.20840173363401907</v>
      </c>
      <c r="F13" s="64" t="str">
        <f>IF(Y1,_xll.qlModelSABR("SABR_"&amp;A11&amp;"_"&amp;A13,$X$3,$Y$2,$X$13:$AD$13,$X$14:$AD$14,B13:E13,$Y$8:$Y$11),"")</f>
        <v>MODEL@SABR_beta_0.2#21:40:12</v>
      </c>
      <c r="G13" s="64">
        <f>_xll.qlModelGetSABRInterpolatedValue($F13,G$1)</f>
        <v>1.1634215007055588</v>
      </c>
      <c r="H13" s="64">
        <f>_xll.qlModelGetSABRInterpolatedValue($F13,H$1)</f>
        <v>1.0634522653639713</v>
      </c>
      <c r="I13" s="64">
        <f>_xll.qlModelGetSABRInterpolatedValue($F13,I$1)</f>
        <v>0.99254372166719596</v>
      </c>
      <c r="J13" s="64">
        <f>_xll.qlModelGetSABRInterpolatedValue($F13,J$1)</f>
        <v>0.94097539667824959</v>
      </c>
      <c r="K13" s="64">
        <f>_xll.qlModelGetSABRInterpolatedValue($F13,K$1)</f>
        <v>0.90285003125673113</v>
      </c>
      <c r="L13" s="64">
        <f>_xll.qlModelGetSABRInterpolatedValue($F13,L$1)</f>
        <v>0.87428927862511829</v>
      </c>
      <c r="M13" s="65">
        <f>_xll.qlModelGetSABRInterpolatedValue($F13,M$1)</f>
        <v>0.85262923132608315</v>
      </c>
      <c r="W13" s="10" t="s">
        <v>0</v>
      </c>
      <c r="X13" s="11">
        <v>0.02</v>
      </c>
      <c r="Y13" s="11">
        <v>2.5000000000000001E-2</v>
      </c>
      <c r="Z13" s="11">
        <v>0.03</v>
      </c>
      <c r="AA13" s="11">
        <v>3.5000000000000003E-2</v>
      </c>
      <c r="AB13" s="11">
        <v>0.04</v>
      </c>
      <c r="AC13" s="11">
        <v>4.4999999999999998E-2</v>
      </c>
      <c r="AD13" s="17">
        <v>0.05</v>
      </c>
    </row>
    <row r="14" spans="1:30" ht="15.75" thickBot="1" x14ac:dyDescent="0.3">
      <c r="A14" s="72">
        <v>0.3</v>
      </c>
      <c r="B14" s="64">
        <f t="shared" si="4"/>
        <v>6.0050488724988818E-2</v>
      </c>
      <c r="C14" s="64">
        <f t="shared" si="5"/>
        <v>0.3</v>
      </c>
      <c r="D14" s="64">
        <f t="shared" si="6"/>
        <v>0.75856980659593132</v>
      </c>
      <c r="E14" s="64">
        <f t="shared" si="7"/>
        <v>0.20840173363401907</v>
      </c>
      <c r="F14" s="64" t="str">
        <f>IF(Y1,_xll.qlModelSABR("SABR_"&amp;A11&amp;"_"&amp;A14,$X$3,$Y$2,$X$13:$AD$13,$X$14:$AD$14,B14:E14,$Y$8:$Y$11),"")</f>
        <v>MODEL@SABR_beta_0.3#21:40:13</v>
      </c>
      <c r="G14" s="64">
        <f>_xll.qlModelGetSABRInterpolatedValue($F14,G$1)</f>
        <v>0.80289414464059483</v>
      </c>
      <c r="H14" s="64">
        <f>_xll.qlModelGetSABRInterpolatedValue($F14,H$1)</f>
        <v>0.73699262710702274</v>
      </c>
      <c r="I14" s="64">
        <f>_xll.qlModelGetSABRInterpolatedValue($F14,I$1)</f>
        <v>0.69347338251092328</v>
      </c>
      <c r="J14" s="64">
        <f>_xll.qlModelGetSABRInterpolatedValue($F14,J$1)</f>
        <v>0.66542942530066007</v>
      </c>
      <c r="K14" s="64">
        <f>_xll.qlModelGetSABRInterpolatedValue($F14,K$1)</f>
        <v>0.64804267840515584</v>
      </c>
      <c r="L14" s="64">
        <f>_xll.qlModelGetSABRInterpolatedValue($F14,L$1)</f>
        <v>0.6378321571815051</v>
      </c>
      <c r="M14" s="65">
        <f>_xll.qlModelGetSABRInterpolatedValue($F14,M$1)</f>
        <v>0.63234728364700132</v>
      </c>
      <c r="W14" s="59" t="s">
        <v>15</v>
      </c>
      <c r="X14" s="13">
        <v>0.45600000000000002</v>
      </c>
      <c r="Y14" s="13">
        <v>0.41600000000000004</v>
      </c>
      <c r="Z14" s="13">
        <v>0.379</v>
      </c>
      <c r="AA14" s="13">
        <v>0.36599999999999999</v>
      </c>
      <c r="AB14" s="13">
        <v>0.37799999999999995</v>
      </c>
      <c r="AC14" s="13">
        <v>0.39200000000000002</v>
      </c>
      <c r="AD14" s="60">
        <v>0.4</v>
      </c>
    </row>
    <row r="15" spans="1:30" x14ac:dyDescent="0.25">
      <c r="A15" s="72">
        <v>0.4</v>
      </c>
      <c r="B15" s="64">
        <f t="shared" si="4"/>
        <v>6.0050488724988818E-2</v>
      </c>
      <c r="C15" s="64">
        <f t="shared" si="5"/>
        <v>0.4</v>
      </c>
      <c r="D15" s="64">
        <f t="shared" si="6"/>
        <v>0.75856980659593132</v>
      </c>
      <c r="E15" s="64">
        <f t="shared" si="7"/>
        <v>0.20840173363401907</v>
      </c>
      <c r="F15" s="64" t="str">
        <f>IF(Y1,_xll.qlModelSABR("SABR_"&amp;A11&amp;"_"&amp;A15,$X$3,$Y$2,$X$13:$AD$13,$X$14:$AD$14,B15:E15,$Y$8:$Y$11),"")</f>
        <v>MODEL@SABR_beta_0.4#21:40:17</v>
      </c>
      <c r="G15" s="64">
        <f>_xll.qlModelGetSABRInterpolatedValue($F15,G$1)</f>
        <v>0.56974685333022046</v>
      </c>
      <c r="H15" s="64">
        <f>_xll.qlModelGetSABRInterpolatedValue($F15,H$1)</f>
        <v>0.51846718682496784</v>
      </c>
      <c r="I15" s="64">
        <f>_xll.qlModelGetSABRInterpolatedValue($F15,I$1)</f>
        <v>0.48817855877828559</v>
      </c>
      <c r="J15" s="64">
        <f>_xll.qlModelGetSABRInterpolatedValue($F15,J$1)</f>
        <v>0.47348441579697204</v>
      </c>
      <c r="K15" s="64">
        <f>_xll.qlModelGetSABRInterpolatedValue($F15,K$1)</f>
        <v>0.46930483750409607</v>
      </c>
      <c r="L15" s="64">
        <f>_xll.qlModelGetSABRInterpolatedValue($F15,L$1)</f>
        <v>0.47140483716580694</v>
      </c>
      <c r="M15" s="65">
        <f>_xll.qlModelGetSABRInterpolatedValue($F15,M$1)</f>
        <v>0.47687645136928603</v>
      </c>
    </row>
    <row r="16" spans="1:30" x14ac:dyDescent="0.25">
      <c r="A16" s="72">
        <v>0.5</v>
      </c>
      <c r="B16" s="64">
        <f t="shared" si="4"/>
        <v>6.0050488724988818E-2</v>
      </c>
      <c r="C16" s="64">
        <f t="shared" si="5"/>
        <v>0.5</v>
      </c>
      <c r="D16" s="64">
        <f t="shared" si="6"/>
        <v>0.75856980659593132</v>
      </c>
      <c r="E16" s="64">
        <f t="shared" si="7"/>
        <v>0.20840173363401907</v>
      </c>
      <c r="F16" s="64" t="str">
        <f>IF(Y1,_xll.qlModelSABR("SABR_"&amp;A11&amp;"_"&amp;A16,$X$3,$Y$2,$X$13:$AD$13,$X$14:$AD$14,B16:E16,$Y$8:$Y$11),"")</f>
        <v>MODEL@SABR_beta_0.5#21:40:17</v>
      </c>
      <c r="G16" s="64">
        <f>_xll.qlModelGetSABRInterpolatedValue($F16,G$1)</f>
        <v>0.41811440647141923</v>
      </c>
      <c r="H16" s="64">
        <f>_xll.qlModelGetSABRInterpolatedValue($F16,H$1)</f>
        <v>0.3711820611666603</v>
      </c>
      <c r="I16" s="64">
        <f>_xll.qlModelGetSABRInterpolatedValue($F16,I$1)</f>
        <v>0.34535134991704403</v>
      </c>
      <c r="J16" s="64">
        <f>_xll.qlModelGetSABRInterpolatedValue($F16,J$1)</f>
        <v>0.33775299634386735</v>
      </c>
      <c r="K16" s="64">
        <f>_xll.qlModelGetSABRInterpolatedValue($F16,K$1)</f>
        <v>0.34247828412994458</v>
      </c>
      <c r="L16" s="64">
        <f>_xll.qlModelGetSABRInterpolatedValue($F16,L$1)</f>
        <v>0.35331018655499247</v>
      </c>
      <c r="M16" s="65">
        <f>_xll.qlModelGetSABRInterpolatedValue($F16,M$1)</f>
        <v>0.36636092770544604</v>
      </c>
    </row>
    <row r="17" spans="1:13" x14ac:dyDescent="0.25">
      <c r="A17" s="72">
        <v>0.6</v>
      </c>
      <c r="B17" s="64">
        <f t="shared" si="4"/>
        <v>6.0050488724988818E-2</v>
      </c>
      <c r="C17" s="64">
        <f t="shared" si="5"/>
        <v>0.6</v>
      </c>
      <c r="D17" s="64">
        <f t="shared" si="6"/>
        <v>0.75856980659593132</v>
      </c>
      <c r="E17" s="64">
        <f t="shared" si="7"/>
        <v>0.20840173363401907</v>
      </c>
      <c r="F17" s="64" t="str">
        <f>IF(Y1,_xll.qlModelSABR("SABR_"&amp;A11&amp;"_"&amp;A17,$X$3,$Y$2,$X$13:$AD$13,$X$14:$AD$14,B17:E17,$Y$8:$Y$11),"")</f>
        <v>MODEL@SABR_beta_0.6#21:40:18</v>
      </c>
      <c r="G17" s="64">
        <f>_xll.qlModelGetSABRInterpolatedValue($F17,G$1)</f>
        <v>0.31956403862288701</v>
      </c>
      <c r="H17" s="64">
        <f>_xll.qlModelGetSABRInterpolatedValue($F17,H$1)</f>
        <v>0.27282352107293106</v>
      </c>
      <c r="I17" s="64">
        <f>_xll.qlModelGetSABRInterpolatedValue($F17,I$1)</f>
        <v>0.24598927793841449</v>
      </c>
      <c r="J17" s="64">
        <f>_xll.qlModelGetSABRInterpolatedValue($F17,J$1)</f>
        <v>0.24117723600470689</v>
      </c>
      <c r="K17" s="64">
        <f>_xll.qlModelGetSABRInterpolatedValue($F17,K$1)</f>
        <v>0.2522509246898173</v>
      </c>
      <c r="L17" s="64">
        <f>_xll.qlModelGetSABRInterpolatedValue($F17,L$1)</f>
        <v>0.26943279792708946</v>
      </c>
      <c r="M17" s="65">
        <f>_xll.qlModelGetSABRInterpolatedValue($F17,M$1)</f>
        <v>0.28755830138362704</v>
      </c>
    </row>
    <row r="18" spans="1:13" x14ac:dyDescent="0.25">
      <c r="A18" s="72">
        <v>0.7</v>
      </c>
      <c r="B18" s="64">
        <f t="shared" si="4"/>
        <v>6.0050488724988818E-2</v>
      </c>
      <c r="C18" s="64">
        <f t="shared" si="5"/>
        <v>0.7</v>
      </c>
      <c r="D18" s="64">
        <f t="shared" si="6"/>
        <v>0.75856980659593132</v>
      </c>
      <c r="E18" s="64">
        <f t="shared" si="7"/>
        <v>0.20840173363401907</v>
      </c>
      <c r="F18" s="64" t="str">
        <f>IF(Y1,_xll.qlModelSABR("SABR_"&amp;A11&amp;"_"&amp;A18,$X$3,$Y$2,$X$13:$AD$13,$X$14:$AD$14,B18:E18,$Y$8:$Y$11),"")</f>
        <v>MODEL@SABR_beta_0.7#21:40:14</v>
      </c>
      <c r="G18" s="64">
        <f>_xll.qlModelGetSABRInterpolatedValue($F18,G$1)</f>
        <v>0.25459242646179953</v>
      </c>
      <c r="H18" s="64">
        <f>_xll.qlModelGetSABRInterpolatedValue($F18,H$1)</f>
        <v>0.20778321577514092</v>
      </c>
      <c r="I18" s="64">
        <f>_xll.qlModelGetSABRInterpolatedValue($F18,I$1)</f>
        <v>0.17749627483697134</v>
      </c>
      <c r="J18" s="64">
        <f>_xll.qlModelGetSABRInterpolatedValue($F18,J$1)</f>
        <v>0.17229262963706704</v>
      </c>
      <c r="K18" s="64">
        <f>_xll.qlModelGetSABRInterpolatedValue($F18,K$1)</f>
        <v>0.1881766452028158</v>
      </c>
      <c r="L18" s="64">
        <f>_xll.qlModelGetSABRInterpolatedValue($F18,L$1)</f>
        <v>0.20986968829007607</v>
      </c>
      <c r="M18" s="65">
        <f>_xll.qlModelGetSABRInterpolatedValue($F18,M$1)</f>
        <v>0.23106562905493344</v>
      </c>
    </row>
    <row r="19" spans="1:13" x14ac:dyDescent="0.25">
      <c r="A19" s="72">
        <v>0.8</v>
      </c>
      <c r="B19" s="64">
        <f t="shared" si="4"/>
        <v>6.0050488724988818E-2</v>
      </c>
      <c r="C19" s="64">
        <f t="shared" si="5"/>
        <v>0.8</v>
      </c>
      <c r="D19" s="64">
        <f t="shared" si="6"/>
        <v>0.75856980659593132</v>
      </c>
      <c r="E19" s="64">
        <f t="shared" si="7"/>
        <v>0.20840173363401907</v>
      </c>
      <c r="F19" s="64" t="str">
        <f>IF(Y1,_xll.qlModelSABR("SABR_"&amp;A11&amp;"_"&amp;A19,$X$3,$Y$2,$X$13:$AD$13,$X$14:$AD$14,B19:E19,$Y$8:$Y$11),"")</f>
        <v>MODEL@SABR_beta_0.8#21:40:14</v>
      </c>
      <c r="G19" s="64">
        <f>_xll.qlModelGetSABRInterpolatedValue($F19,G$1)</f>
        <v>0.21032516967330761</v>
      </c>
      <c r="H19" s="64">
        <f>_xll.qlModelGetSABRInterpolatedValue($F19,H$1)</f>
        <v>0.16456646597058855</v>
      </c>
      <c r="I19" s="64">
        <f>_xll.qlModelGetSABRInterpolatedValue($F19,I$1)</f>
        <v>0.13098917006427974</v>
      </c>
      <c r="J19" s="64">
        <f>_xll.qlModelGetSABRInterpolatedValue($F19,J$1)</f>
        <v>0.12311123790565942</v>
      </c>
      <c r="K19" s="64">
        <f>_xll.qlModelGetSABRInterpolatedValue($F19,K$1)</f>
        <v>0.14282901450679658</v>
      </c>
      <c r="L19" s="64">
        <f>_xll.qlModelGetSABRInterpolatedValue($F19,L$1)</f>
        <v>0.16742887258595951</v>
      </c>
      <c r="M19" s="65">
        <f>_xll.qlModelGetSABRInterpolatedValue($F19,M$1)</f>
        <v>0.19011800962634526</v>
      </c>
    </row>
    <row r="20" spans="1:13" ht="15.75" thickBot="1" x14ac:dyDescent="0.3">
      <c r="A20" s="73">
        <v>0.9</v>
      </c>
      <c r="B20" s="66">
        <f t="shared" si="4"/>
        <v>6.0050488724988818E-2</v>
      </c>
      <c r="C20" s="66">
        <f t="shared" si="5"/>
        <v>0.9</v>
      </c>
      <c r="D20" s="66">
        <f t="shared" si="6"/>
        <v>0.75856980659593132</v>
      </c>
      <c r="E20" s="66">
        <f t="shared" si="7"/>
        <v>0.20840173363401907</v>
      </c>
      <c r="F20" s="66" t="str">
        <f>IF(Y1,_xll.qlModelSABR("SABR_"&amp;A11&amp;"_"&amp;A20,$X$3,$Y$2,$X$13:$AD$13,$X$14:$AD$14,B20:E20,$Y$8:$Y$11),"")</f>
        <v>MODEL@SABR_beta_0.9#21:40:14</v>
      </c>
      <c r="G20" s="66">
        <f>_xll.qlModelGetSABRInterpolatedValue($F20,G$1)</f>
        <v>0.17886727987160358</v>
      </c>
      <c r="H20" s="66">
        <f>_xll.qlModelGetSABRInterpolatedValue($F20,H$1)</f>
        <v>0.13513314760201073</v>
      </c>
      <c r="I20" s="66">
        <f>_xll.qlModelGetSABRInterpolatedValue($F20,I$1)</f>
        <v>9.9827548457180962E-2</v>
      </c>
      <c r="J20" s="66">
        <f>_xll.qlModelGetSABRInterpolatedValue($F20,J$1)</f>
        <v>8.7982359451737949E-2</v>
      </c>
      <c r="K20" s="66">
        <f>_xll.qlModelGetSABRInterpolatedValue($F20,K$1)</f>
        <v>0.11079766302157815</v>
      </c>
      <c r="L20" s="66">
        <f>_xll.qlModelGetSABRInterpolatedValue($F20,L$1)</f>
        <v>0.13688804037422669</v>
      </c>
      <c r="M20" s="67">
        <f>_xll.qlModelGetSABRInterpolatedValue($F20,M$1)</f>
        <v>0.15993183005061709</v>
      </c>
    </row>
    <row r="21" spans="1:13" x14ac:dyDescent="0.25">
      <c r="A21" s="74" t="s">
        <v>32</v>
      </c>
      <c r="B21" s="75"/>
      <c r="C21" s="75"/>
      <c r="D21" s="75"/>
      <c r="E21" s="75"/>
      <c r="F21" s="75" t="s">
        <v>0</v>
      </c>
      <c r="G21" s="76">
        <v>0.02</v>
      </c>
      <c r="H21" s="76">
        <v>2.5000000000000001E-2</v>
      </c>
      <c r="I21" s="76">
        <v>0.03</v>
      </c>
      <c r="J21" s="76">
        <v>3.5000000000000003E-2</v>
      </c>
      <c r="K21" s="76">
        <v>0.04</v>
      </c>
      <c r="L21" s="76">
        <v>4.4999999999999998E-2</v>
      </c>
      <c r="M21" s="77">
        <v>0.05</v>
      </c>
    </row>
    <row r="22" spans="1:13" x14ac:dyDescent="0.25">
      <c r="A22" s="72">
        <v>0.1</v>
      </c>
      <c r="B22" s="64">
        <f>$X$8</f>
        <v>6.0050488724988818E-2</v>
      </c>
      <c r="C22" s="64">
        <f>$X$9</f>
        <v>0.50000000000000011</v>
      </c>
      <c r="D22" s="64">
        <f>A22</f>
        <v>0.1</v>
      </c>
      <c r="E22" s="64">
        <f>$X$11</f>
        <v>0.20840173363401907</v>
      </c>
      <c r="F22" s="64" t="str">
        <f>IF(Y1,_xll.qlModelSABR("SABR_"&amp;A21&amp;"_"&amp;A22,$X$3,$Y$2,$X$13:$AD$13,$X$14:$AD$14,B22:E22,$Y$8:$Y$11),"")</f>
        <v>MODEL@SABR_Nu_0.1#21:40:42</v>
      </c>
      <c r="G22" s="64">
        <f>_xll.qlModelGetSABRInterpolatedValue($F22,G$1)</f>
        <v>0.36468129058129234</v>
      </c>
      <c r="H22" s="64">
        <f>_xll.qlModelGetSABRInterpolatedValue($F22,H$1)</f>
        <v>0.3467779302571663</v>
      </c>
      <c r="I22" s="64">
        <f>_xll.qlModelGetSABRInterpolatedValue($F22,I$1)</f>
        <v>0.33295066758783187</v>
      </c>
      <c r="J22" s="64">
        <f>_xll.qlModelGetSABRInterpolatedValue($F22,J$1)</f>
        <v>0.32184631011309001</v>
      </c>
      <c r="K22" s="64">
        <f>_xll.qlModelGetSABRInterpolatedValue($F22,K$1)</f>
        <v>0.31267508333678112</v>
      </c>
      <c r="L22" s="64">
        <f>_xll.qlModelGetSABRInterpolatedValue($F22,L$1)</f>
        <v>0.3049379941015648</v>
      </c>
      <c r="M22" s="65">
        <f>_xll.qlModelGetSABRInterpolatedValue($F22,M$1)</f>
        <v>0.29830091402408082</v>
      </c>
    </row>
    <row r="23" spans="1:13" x14ac:dyDescent="0.25">
      <c r="A23" s="72">
        <v>0.2</v>
      </c>
      <c r="B23" s="64">
        <f t="shared" ref="B23:B30" si="8">$X$8</f>
        <v>6.0050488724988818E-2</v>
      </c>
      <c r="C23" s="64">
        <f t="shared" ref="C23:C30" si="9">$X$9</f>
        <v>0.50000000000000011</v>
      </c>
      <c r="D23" s="64">
        <f t="shared" ref="D23:D30" si="10">A23</f>
        <v>0.2</v>
      </c>
      <c r="E23" s="64">
        <f t="shared" ref="E23:E30" si="11">$X$11</f>
        <v>0.20840173363401907</v>
      </c>
      <c r="F23" s="64" t="str">
        <f>IF(Y1,_xll.qlModelSABR("SABR_"&amp;A21&amp;"_"&amp;A23,$X$3,$Y$2,$X$13:$AD$13,$X$14:$AD$14,B23:E23,$Y$8:$Y$11),"")</f>
        <v>MODEL@SABR_Nu_0.2#21:40:49</v>
      </c>
      <c r="G23" s="64">
        <f>_xll.qlModelGetSABRInterpolatedValue($F23,G$1)</f>
        <v>0.36426131424034019</v>
      </c>
      <c r="H23" s="64">
        <f>_xll.qlModelGetSABRInterpolatedValue($F23,H$1)</f>
        <v>0.34597317208643313</v>
      </c>
      <c r="I23" s="64">
        <f>_xll.qlModelGetSABRInterpolatedValue($F23,I$1)</f>
        <v>0.33274323633771191</v>
      </c>
      <c r="J23" s="64">
        <f>_xll.qlModelGetSABRInterpolatedValue($F23,J$1)</f>
        <v>0.32286488704188782</v>
      </c>
      <c r="K23" s="64">
        <f>_xll.qlModelGetSABRInterpolatedValue($F23,K$1)</f>
        <v>0.31531761001003716</v>
      </c>
      <c r="L23" s="64">
        <f>_xll.qlModelGetSABRInterpolatedValue($F23,L$1)</f>
        <v>0.30944690038264561</v>
      </c>
      <c r="M23" s="65">
        <f>_xll.qlModelGetSABRInterpolatedValue($F23,M$1)</f>
        <v>0.30481253293790678</v>
      </c>
    </row>
    <row r="24" spans="1:13" x14ac:dyDescent="0.25">
      <c r="A24" s="72">
        <v>0.3</v>
      </c>
      <c r="B24" s="64">
        <f t="shared" si="8"/>
        <v>6.0050488724988818E-2</v>
      </c>
      <c r="C24" s="64">
        <f t="shared" si="9"/>
        <v>0.50000000000000011</v>
      </c>
      <c r="D24" s="64">
        <f t="shared" si="10"/>
        <v>0.3</v>
      </c>
      <c r="E24" s="64">
        <f t="shared" si="11"/>
        <v>0.20840173363401907</v>
      </c>
      <c r="F24" s="64" t="str">
        <f>IF(Y1,_xll.qlModelSABR("SABR_"&amp;A21&amp;"_"&amp;A24,$X$3,$Y$2,$X$13:$AD$13,$X$14:$AD$14,B24:E24,$Y$8:$Y$11),"")</f>
        <v>MODEL@SABR_Nu_0.3#21:40:42</v>
      </c>
      <c r="G24" s="64">
        <f>_xll.qlModelGetSABRInterpolatedValue($F24,G$1)</f>
        <v>0.36726890267932355</v>
      </c>
      <c r="H24" s="64">
        <f>_xll.qlModelGetSABRInterpolatedValue($F24,H$1)</f>
        <v>0.34680232079608769</v>
      </c>
      <c r="I24" s="64">
        <f>_xll.qlModelGetSABRInterpolatedValue($F24,I$1)</f>
        <v>0.33327891926063569</v>
      </c>
      <c r="J24" s="64">
        <f>_xll.qlModelGetSABRInterpolatedValue($F24,J$1)</f>
        <v>0.32438358444587012</v>
      </c>
      <c r="K24" s="64">
        <f>_xll.qlModelGetSABRInterpolatedValue($F24,K$1)</f>
        <v>0.31862852722120788</v>
      </c>
      <c r="L24" s="64">
        <f>_xll.qlModelGetSABRInterpolatedValue($F24,L$1)</f>
        <v>0.31501670252152625</v>
      </c>
      <c r="M24" s="65">
        <f>_xll.qlModelGetSABRInterpolatedValue($F24,M$1)</f>
        <v>0.31287144588172333</v>
      </c>
    </row>
    <row r="25" spans="1:13" x14ac:dyDescent="0.25">
      <c r="A25" s="72">
        <v>0.4</v>
      </c>
      <c r="B25" s="64">
        <f t="shared" si="8"/>
        <v>6.0050488724988818E-2</v>
      </c>
      <c r="C25" s="64">
        <f t="shared" si="9"/>
        <v>0.50000000000000011</v>
      </c>
      <c r="D25" s="64">
        <f t="shared" si="10"/>
        <v>0.4</v>
      </c>
      <c r="E25" s="64">
        <f t="shared" si="11"/>
        <v>0.20840173363401907</v>
      </c>
      <c r="F25" s="64" t="str">
        <f>IF(Y1,_xll.qlModelSABR("SABR_"&amp;A21&amp;"_"&amp;A25,$X$3,$Y$2,$X$13:$AD$13,$X$14:$AD$14,B25:E25,$Y$8:$Y$11),"")</f>
        <v>MODEL@SABR_Nu_0.4#21:40:43</v>
      </c>
      <c r="G25" s="64">
        <f>_xll.qlModelGetSABRInterpolatedValue($F25,G$1)</f>
        <v>0.37354014426389076</v>
      </c>
      <c r="H25" s="64">
        <f>_xll.qlModelGetSABRInterpolatedValue($F25,H$1)</f>
        <v>0.34927326217184018</v>
      </c>
      <c r="I25" s="64">
        <f>_xll.qlModelGetSABRInterpolatedValue($F25,I$1)</f>
        <v>0.33456077344097984</v>
      </c>
      <c r="J25" s="64">
        <f>_xll.qlModelGetSABRInterpolatedValue($F25,J$1)</f>
        <v>0.32640240232503676</v>
      </c>
      <c r="K25" s="64">
        <f>_xll.qlModelGetSABRInterpolatedValue($F25,K$1)</f>
        <v>0.32261081063146613</v>
      </c>
      <c r="L25" s="64">
        <f>_xll.qlModelGetSABRInterpolatedValue($F25,L$1)</f>
        <v>0.3216142216373577</v>
      </c>
      <c r="M25" s="65">
        <f>_xll.qlModelGetSABRInterpolatedValue($F25,M$1)</f>
        <v>0.32234318042815502</v>
      </c>
    </row>
    <row r="26" spans="1:13" x14ac:dyDescent="0.25">
      <c r="A26" s="72">
        <v>0.5</v>
      </c>
      <c r="B26" s="64">
        <f t="shared" si="8"/>
        <v>6.0050488724988818E-2</v>
      </c>
      <c r="C26" s="64">
        <f t="shared" si="9"/>
        <v>0.50000000000000011</v>
      </c>
      <c r="D26" s="64">
        <f t="shared" si="10"/>
        <v>0.5</v>
      </c>
      <c r="E26" s="64">
        <f t="shared" si="11"/>
        <v>0.20840173363401907</v>
      </c>
      <c r="F26" s="64" t="str">
        <f>IF(Y1,_xll.qlModelSABR("SABR_"&amp;A21&amp;"_"&amp;A26,$X$3,$Y$2,$X$13:$AD$13,$X$14:$AD$14,B26:E26,$Y$8:$Y$11),"")</f>
        <v>MODEL@SABR_Nu_0.5#21:40:51</v>
      </c>
      <c r="G26" s="64">
        <f>_xll.qlModelGetSABRInterpolatedValue($F26,G$1)</f>
        <v>0.38278256213804107</v>
      </c>
      <c r="H26" s="64">
        <f>_xll.qlModelGetSABRInterpolatedValue($F26,H$1)</f>
        <v>0.353368781696837</v>
      </c>
      <c r="I26" s="64">
        <f>_xll.qlModelGetSABRInterpolatedValue($F26,I$1)</f>
        <v>0.33659241074208213</v>
      </c>
      <c r="J26" s="64">
        <f>_xll.qlModelGetSABRInterpolatedValue($F26,J$1)</f>
        <v>0.32892134067938777</v>
      </c>
      <c r="K26" s="64">
        <f>_xll.qlModelGetSABRInterpolatedValue($F26,K$1)</f>
        <v>0.3272683451367554</v>
      </c>
      <c r="L26" s="64">
        <f>_xll.qlModelGetSABRInterpolatedValue($F26,L$1)</f>
        <v>0.32920937268216771</v>
      </c>
      <c r="M26" s="65">
        <f>_xll.qlModelGetSABRInterpolatedValue($F26,M$1)</f>
        <v>0.33311052608117658</v>
      </c>
    </row>
    <row r="27" spans="1:13" x14ac:dyDescent="0.25">
      <c r="A27" s="72">
        <v>0.6</v>
      </c>
      <c r="B27" s="64">
        <f t="shared" si="8"/>
        <v>6.0050488724988818E-2</v>
      </c>
      <c r="C27" s="64">
        <f t="shared" si="9"/>
        <v>0.50000000000000011</v>
      </c>
      <c r="D27" s="64">
        <f t="shared" si="10"/>
        <v>0.6</v>
      </c>
      <c r="E27" s="64">
        <f t="shared" si="11"/>
        <v>0.20840173363401907</v>
      </c>
      <c r="F27" s="64" t="str">
        <f>IF(Y1,_xll.qlModelSABR("SABR_"&amp;A21&amp;"_"&amp;A27,$X$3,$Y$2,$X$13:$AD$13,$X$14:$AD$14,B27:E27,$Y$8:$Y$11),"")</f>
        <v>MODEL@SABR_Nu_0.6#21:40:43</v>
      </c>
      <c r="G27" s="64">
        <f>_xll.qlModelGetSABRInterpolatedValue($F27,G$1)</f>
        <v>0.39465691758959154</v>
      </c>
      <c r="H27" s="64">
        <f>_xll.qlModelGetSABRInterpolatedValue($F27,H$1)</f>
        <v>0.3590507276349249</v>
      </c>
      <c r="I27" s="64">
        <f>_xll.qlModelGetSABRInterpolatedValue($F27,I$1)</f>
        <v>0.33937790358393727</v>
      </c>
      <c r="J27" s="64">
        <f>_xll.qlModelGetSABRInterpolatedValue($F27,J$1)</f>
        <v>0.33194039950892318</v>
      </c>
      <c r="K27" s="64">
        <f>_xll.qlModelGetSABRInterpolatedValue($F27,K$1)</f>
        <v>0.3326059380427791</v>
      </c>
      <c r="L27" s="64">
        <f>_xll.qlModelGetSABRInterpolatedValue($F27,L$1)</f>
        <v>0.33777687911157595</v>
      </c>
      <c r="M27" s="65">
        <f>_xll.qlModelGetSABRInterpolatedValue($F27,M$1)</f>
        <v>0.34507966869484263</v>
      </c>
    </row>
    <row r="28" spans="1:13" x14ac:dyDescent="0.25">
      <c r="A28" s="72">
        <v>0.7</v>
      </c>
      <c r="B28" s="64">
        <f t="shared" si="8"/>
        <v>6.0050488724988818E-2</v>
      </c>
      <c r="C28" s="64">
        <f t="shared" si="9"/>
        <v>0.50000000000000011</v>
      </c>
      <c r="D28" s="64">
        <f t="shared" si="10"/>
        <v>0.7</v>
      </c>
      <c r="E28" s="64">
        <f t="shared" si="11"/>
        <v>0.20840173363401907</v>
      </c>
      <c r="F28" s="64" t="str">
        <f>IF(Y1,_xll.qlModelSABR("SABR_"&amp;A21&amp;"_"&amp;A28,$X$3,$Y$2,$X$13:$AD$13,$X$14:$AD$14,B28:E28,$Y$8:$Y$11),"")</f>
        <v>MODEL@SABR_Nu_0.7#21:40:46</v>
      </c>
      <c r="G28" s="64">
        <f>_xll.qlModelGetSABRInterpolatedValue($F28,G$1)</f>
        <v>0.40884244390209562</v>
      </c>
      <c r="H28" s="64">
        <f>_xll.qlModelGetSABRInterpolatedValue($F28,H$1)</f>
        <v>0.36626677947179404</v>
      </c>
      <c r="I28" s="64">
        <f>_xll.qlModelGetSABRInterpolatedValue($F28,I$1)</f>
        <v>0.3429217088828288</v>
      </c>
      <c r="J28" s="64">
        <f>_xll.qlModelGetSABRInterpolatedValue($F28,J$1)</f>
        <v>0.33545957881364297</v>
      </c>
      <c r="K28" s="64">
        <f>_xll.qlModelGetSABRInterpolatedValue($F28,K$1)</f>
        <v>0.33862931982084676</v>
      </c>
      <c r="L28" s="64">
        <f>_xll.qlModelGetSABRInterpolatedValue($F28,L$1)</f>
        <v>0.34729724629009057</v>
      </c>
      <c r="M28" s="65">
        <f>_xll.qlModelGetSABRInterpolatedValue($F28,M$1)</f>
        <v>0.35818119028532436</v>
      </c>
    </row>
    <row r="29" spans="1:13" x14ac:dyDescent="0.25">
      <c r="A29" s="72">
        <v>0.8</v>
      </c>
      <c r="B29" s="64">
        <f t="shared" si="8"/>
        <v>6.0050488724988818E-2</v>
      </c>
      <c r="C29" s="64">
        <f t="shared" si="9"/>
        <v>0.50000000000000011</v>
      </c>
      <c r="D29" s="64">
        <f t="shared" si="10"/>
        <v>0.8</v>
      </c>
      <c r="E29" s="64">
        <f t="shared" si="11"/>
        <v>0.20840173363401907</v>
      </c>
      <c r="F29" s="64" t="str">
        <f>IF(Y1,_xll.qlModelSABR("SABR_"&amp;A21&amp;"_"&amp;A29,$X$3,$Y$2,$X$13:$AD$13,$X$14:$AD$14,B29:E29,$Y$8:$Y$11),"")</f>
        <v>MODEL@SABR_Nu_0.8#21:40:46</v>
      </c>
      <c r="G29" s="64">
        <f>_xll.qlModelGetSABRInterpolatedValue($F29,G$1)</f>
        <v>0.42507156546252345</v>
      </c>
      <c r="H29" s="64">
        <f>_xll.qlModelGetSABRInterpolatedValue($F29,H$1)</f>
        <v>0.37495795921335029</v>
      </c>
      <c r="I29" s="64">
        <f>_xll.qlModelGetSABRInterpolatedValue($F29,I$1)</f>
        <v>0.34722861396791088</v>
      </c>
      <c r="J29" s="64">
        <f>_xll.qlModelGetSABRInterpolatedValue($F29,J$1)</f>
        <v>0.33947887859354708</v>
      </c>
      <c r="K29" s="64">
        <f>_xll.qlModelGetSABRInterpolatedValue($F29,K$1)</f>
        <v>0.34534513297786007</v>
      </c>
      <c r="L29" s="64">
        <f>_xll.qlModelGetSABRInterpolatedValue($F29,L$1)</f>
        <v>0.35775711562889673</v>
      </c>
      <c r="M29" s="65">
        <f>_xll.qlModelGetSABRInterpolatedValue($F29,M$1)</f>
        <v>0.37236810862457126</v>
      </c>
    </row>
    <row r="30" spans="1:13" ht="15.75" thickBot="1" x14ac:dyDescent="0.3">
      <c r="A30" s="73">
        <v>0.9</v>
      </c>
      <c r="B30" s="66">
        <f t="shared" si="8"/>
        <v>6.0050488724988818E-2</v>
      </c>
      <c r="C30" s="66">
        <f t="shared" si="9"/>
        <v>0.50000000000000011</v>
      </c>
      <c r="D30" s="66">
        <f t="shared" si="10"/>
        <v>0.9</v>
      </c>
      <c r="E30" s="66">
        <f t="shared" si="11"/>
        <v>0.20840173363401907</v>
      </c>
      <c r="F30" s="66" t="str">
        <f>IF(Y1,_xll.qlModelSABR("SABR_"&amp;A21&amp;"_"&amp;A30,$X$3,$Y$2,$X$13:$AD$13,$X$14:$AD$14,B30:E30,$Y$8:$Y$11),"")</f>
        <v>MODEL@SABR_Nu_0.9#21:40:46</v>
      </c>
      <c r="G30" s="66">
        <f>_xll.qlModelGetSABRInterpolatedValue($F30,G$1)</f>
        <v>0.4431396113149928</v>
      </c>
      <c r="H30" s="66">
        <f>_xll.qlModelGetSABRInterpolatedValue($F30,H$1)</f>
        <v>0.38506531232470148</v>
      </c>
      <c r="I30" s="66">
        <f>_xll.qlModelGetSABRInterpolatedValue($F30,I$1)</f>
        <v>0.35230370596024235</v>
      </c>
      <c r="J30" s="66">
        <f>_xll.qlModelGetSABRInterpolatedValue($F30,J$1)</f>
        <v>0.3439982988486357</v>
      </c>
      <c r="K30" s="66">
        <f>_xll.qlModelGetSABRInterpolatedValue($F30,K$1)</f>
        <v>0.35276091014003247</v>
      </c>
      <c r="L30" s="66">
        <f>_xll.qlModelGetSABRInterpolatedValue($F30,L$1)</f>
        <v>0.36914916501304601</v>
      </c>
      <c r="M30" s="67">
        <f>_xll.qlModelGetSABRInterpolatedValue($F30,M$1)</f>
        <v>0.38761264066844858</v>
      </c>
    </row>
    <row r="31" spans="1:13" x14ac:dyDescent="0.25">
      <c r="A31" s="74" t="s">
        <v>7</v>
      </c>
      <c r="B31" s="75"/>
      <c r="C31" s="75"/>
      <c r="D31" s="75"/>
      <c r="E31" s="75"/>
      <c r="F31" s="75" t="s">
        <v>0</v>
      </c>
      <c r="G31" s="76">
        <v>0.02</v>
      </c>
      <c r="H31" s="76">
        <v>2.5000000000000001E-2</v>
      </c>
      <c r="I31" s="76">
        <v>0.03</v>
      </c>
      <c r="J31" s="76">
        <v>3.5000000000000003E-2</v>
      </c>
      <c r="K31" s="76">
        <v>0.04</v>
      </c>
      <c r="L31" s="76">
        <v>4.4999999999999998E-2</v>
      </c>
      <c r="M31" s="77">
        <v>0.05</v>
      </c>
    </row>
    <row r="32" spans="1:13" x14ac:dyDescent="0.25">
      <c r="A32" s="72">
        <v>-0.8</v>
      </c>
      <c r="B32" s="64">
        <f>$X$8</f>
        <v>6.0050488724988818E-2</v>
      </c>
      <c r="C32" s="64">
        <f>$X$9</f>
        <v>0.50000000000000011</v>
      </c>
      <c r="D32" s="64">
        <f>$X$10</f>
        <v>0.75856980659593132</v>
      </c>
      <c r="E32" s="64">
        <f>A32</f>
        <v>-0.8</v>
      </c>
      <c r="F32" s="64" t="str">
        <f>IF(Y1,_xll.qlModelSABR("SABR_"&amp;A31&amp;"_"&amp;A32,$X$3,$Y$2,$X$13:$AD$13,$X$14:$AD$14,B32:E32,$Y$8:$Y$11),"")</f>
        <v>MODEL@SABR_rho_-0.8#21:40:46</v>
      </c>
      <c r="G32" s="64">
        <f>_xll.qlModelGetSABRInterpolatedValue($F32,G$1)</f>
        <v>0.51845999910119034</v>
      </c>
      <c r="H32" s="64">
        <f>_xll.qlModelGetSABRInterpolatedValue($F32,H$1)</f>
        <v>0.43864501885977214</v>
      </c>
      <c r="I32" s="64">
        <f>_xll.qlModelGetSABRInterpolatedValue($F32,I$1)</f>
        <v>0.37169425469193607</v>
      </c>
      <c r="J32" s="64">
        <f>_xll.qlModelGetSABRInterpolatedValue($F32,J$1)</f>
        <v>0.31412796088876238</v>
      </c>
      <c r="K32" s="64">
        <f>_xll.qlModelGetSABRInterpolatedValue($F32,K$1)</f>
        <v>0.26510010309628607</v>
      </c>
      <c r="L32" s="64">
        <f>_xll.qlModelGetSABRInterpolatedValue($F32,L$1)</f>
        <v>0.22689943182265818</v>
      </c>
      <c r="M32" s="65">
        <f>_xll.qlModelGetSABRInterpolatedValue($F32,M$1)</f>
        <v>0.20383598049654733</v>
      </c>
    </row>
    <row r="33" spans="1:13" x14ac:dyDescent="0.25">
      <c r="A33" s="72">
        <v>-0.6</v>
      </c>
      <c r="B33" s="64">
        <f t="shared" ref="B33:B40" si="12">$X$8</f>
        <v>6.0050488724988818E-2</v>
      </c>
      <c r="C33" s="64">
        <f t="shared" ref="C33:C40" si="13">$X$9</f>
        <v>0.50000000000000011</v>
      </c>
      <c r="D33" s="64">
        <f t="shared" ref="D33:D40" si="14">$X$10</f>
        <v>0.75856980659593132</v>
      </c>
      <c r="E33" s="64">
        <f t="shared" ref="E33:E40" si="15">A33</f>
        <v>-0.6</v>
      </c>
      <c r="F33" s="64" t="str">
        <f>IF(Y1,_xll.qlModelSABR("SABR_"&amp;A31&amp;"_"&amp;A33,$X$3,$Y$2,$X$13:$AD$13,$X$14:$AD$14,B33:E33,$Y$8:$Y$11),"")</f>
        <v>MODEL@SABR_rho_-0.6#21:40:47</v>
      </c>
      <c r="G33" s="64">
        <f>_xll.qlModelGetSABRInterpolatedValue($F33,G$1)</f>
        <v>0.51028074187458838</v>
      </c>
      <c r="H33" s="64">
        <f>_xll.qlModelGetSABRInterpolatedValue($F33,H$1)</f>
        <v>0.43421071236510034</v>
      </c>
      <c r="I33" s="64">
        <f>_xll.qlModelGetSABRInterpolatedValue($F33,I$1)</f>
        <v>0.3724360703677313</v>
      </c>
      <c r="J33" s="64">
        <f>_xll.qlModelGetSABRInterpolatedValue($F33,J$1)</f>
        <v>0.3225464533652424</v>
      </c>
      <c r="K33" s="64">
        <f>_xll.qlModelGetSABRInterpolatedValue($F33,K$1)</f>
        <v>0.2849354288494243</v>
      </c>
      <c r="L33" s="64">
        <f>_xll.qlModelGetSABRInterpolatedValue($F33,L$1)</f>
        <v>0.26118929204810049</v>
      </c>
      <c r="M33" s="65">
        <f>_xll.qlModelGetSABRInterpolatedValue($F33,M$1)</f>
        <v>0.25060242321356241</v>
      </c>
    </row>
    <row r="34" spans="1:13" x14ac:dyDescent="0.25">
      <c r="A34" s="72">
        <v>-0.4</v>
      </c>
      <c r="B34" s="64">
        <f t="shared" si="12"/>
        <v>6.0050488724988818E-2</v>
      </c>
      <c r="C34" s="64">
        <f t="shared" si="13"/>
        <v>0.50000000000000011</v>
      </c>
      <c r="D34" s="64">
        <f t="shared" si="14"/>
        <v>0.75856980659593132</v>
      </c>
      <c r="E34" s="64">
        <f t="shared" si="15"/>
        <v>-0.4</v>
      </c>
      <c r="F34" s="64" t="str">
        <f>IF(Y1,_xll.qlModelSABR("SABR_"&amp;A31&amp;"_"&amp;A34,$X$3,$Y$2,$X$13:$AD$13,$X$14:$AD$14,B34:E34,$Y$8:$Y$11),"")</f>
        <v>MODEL@SABR_rho_-0.4#21:40:46</v>
      </c>
      <c r="G34" s="64">
        <f>_xll.qlModelGetSABRInterpolatedValue($F34,G$1)</f>
        <v>0.49646404378731002</v>
      </c>
      <c r="H34" s="64">
        <f>_xll.qlModelGetSABRInterpolatedValue($F34,H$1)</f>
        <v>0.42540966933999402</v>
      </c>
      <c r="I34" s="64">
        <f>_xll.qlModelGetSABRInterpolatedValue($F34,I$1)</f>
        <v>0.37015904706614172</v>
      </c>
      <c r="J34" s="64">
        <f>_xll.qlModelGetSABRInterpolatedValue($F34,J$1)</f>
        <v>0.32911791720438244</v>
      </c>
      <c r="K34" s="64">
        <f>_xll.qlModelGetSABRInterpolatedValue($F34,K$1)</f>
        <v>0.30257214070890143</v>
      </c>
      <c r="L34" s="64">
        <f>_xll.qlModelGetSABRInterpolatedValue($F34,L$1)</f>
        <v>0.28973489844853617</v>
      </c>
      <c r="M34" s="65">
        <f>_xll.qlModelGetSABRInterpolatedValue($F34,M$1)</f>
        <v>0.28712092118172405</v>
      </c>
    </row>
    <row r="35" spans="1:13" x14ac:dyDescent="0.25">
      <c r="A35" s="72">
        <v>-0.2</v>
      </c>
      <c r="B35" s="64">
        <f t="shared" si="12"/>
        <v>6.0050488724988818E-2</v>
      </c>
      <c r="C35" s="64">
        <f t="shared" si="13"/>
        <v>0.50000000000000011</v>
      </c>
      <c r="D35" s="64">
        <f t="shared" si="14"/>
        <v>0.75856980659593132</v>
      </c>
      <c r="E35" s="64">
        <f t="shared" si="15"/>
        <v>-0.2</v>
      </c>
      <c r="F35" s="64" t="str">
        <f>IF(Y1,_xll.qlModelSABR("SABR_"&amp;A31&amp;"_"&amp;A35,$X$3,$Y$2,$X$13:$AD$13,$X$14:$AD$14,B35:E35,$Y$8:$Y$11),"")</f>
        <v>MODEL@SABR_rho_-0.2#21:40:53</v>
      </c>
      <c r="G35" s="64">
        <f>_xll.qlModelGetSABRInterpolatedValue($F35,G$1)</f>
        <v>0.47693573696873581</v>
      </c>
      <c r="H35" s="64">
        <f>_xll.qlModelGetSABRInterpolatedValue($F35,H$1)</f>
        <v>0.41223032450788077</v>
      </c>
      <c r="I35" s="64">
        <f>_xll.qlModelGetSABRInterpolatedValue($F35,I$1)</f>
        <v>0.36493349324940028</v>
      </c>
      <c r="J35" s="64">
        <f>_xll.qlModelGetSABRInterpolatedValue($F35,J$1)</f>
        <v>0.33384235240618254</v>
      </c>
      <c r="K35" s="64">
        <f>_xll.qlModelGetSABRInterpolatedValue($F35,K$1)</f>
        <v>0.31800625219855155</v>
      </c>
      <c r="L35" s="64">
        <f>_xll.qlModelGetSABRInterpolatedValue($F35,L$1)</f>
        <v>0.31415095003641447</v>
      </c>
      <c r="M35" s="65">
        <f>_xll.qlModelGetSABRInterpolatedValue($F35,M$1)</f>
        <v>0.31766169856420018</v>
      </c>
    </row>
    <row r="36" spans="1:13" x14ac:dyDescent="0.25">
      <c r="A36" s="72">
        <v>0</v>
      </c>
      <c r="B36" s="64">
        <f t="shared" si="12"/>
        <v>6.0050488724988818E-2</v>
      </c>
      <c r="C36" s="64">
        <f t="shared" si="13"/>
        <v>0.50000000000000011</v>
      </c>
      <c r="D36" s="64">
        <f t="shared" si="14"/>
        <v>0.75856980659593132</v>
      </c>
      <c r="E36" s="64">
        <f t="shared" si="15"/>
        <v>0</v>
      </c>
      <c r="F36" s="64" t="str">
        <f>IF(Y1,_xll.qlModelSABR("SABR_"&amp;A31&amp;"_"&amp;A36,$X$3,$Y$2,$X$13:$AD$13,$X$14:$AD$14,B36:E36,$Y$8:$Y$11),"")</f>
        <v>MODEL@SABR_rho_0#21:40:53</v>
      </c>
      <c r="G36" s="64">
        <f>_xll.qlModelGetSABRInterpolatedValue($F36,G$1)</f>
        <v>0.45147877071981557</v>
      </c>
      <c r="H36" s="64">
        <f>_xll.qlModelGetSABRInterpolatedValue($F36,H$1)</f>
        <v>0.39458228021975439</v>
      </c>
      <c r="I36" s="64">
        <f>_xll.qlModelGetSABRInterpolatedValue($F36,I$1)</f>
        <v>0.35682185242411646</v>
      </c>
      <c r="J36" s="64">
        <f>_xll.qlModelGetSABRInterpolatedValue($F36,J$1)</f>
        <v>0.33671975897064271</v>
      </c>
      <c r="K36" s="64">
        <f>_xll.qlModelGetSABRInterpolatedValue($F36,K$1)</f>
        <v>0.33119428763559072</v>
      </c>
      <c r="L36" s="64">
        <f>_xll.qlModelGetSABRInterpolatedValue($F36,L$1)</f>
        <v>0.33503870379618372</v>
      </c>
      <c r="M36" s="65">
        <f>_xll.qlModelGetSABRInterpolatedValue($F36,M$1)</f>
        <v>0.34360887708883281</v>
      </c>
    </row>
    <row r="37" spans="1:13" x14ac:dyDescent="0.25">
      <c r="A37" s="72">
        <v>0.2</v>
      </c>
      <c r="B37" s="64">
        <f t="shared" si="12"/>
        <v>6.0050488724988818E-2</v>
      </c>
      <c r="C37" s="64">
        <f t="shared" si="13"/>
        <v>0.50000000000000011</v>
      </c>
      <c r="D37" s="64">
        <f t="shared" si="14"/>
        <v>0.75856980659593132</v>
      </c>
      <c r="E37" s="64">
        <f t="shared" si="15"/>
        <v>0.2</v>
      </c>
      <c r="F37" s="64" t="str">
        <f>IF(Y1,_xll.qlModelSABR("SABR_"&amp;A31&amp;"_"&amp;A37,$X$3,$Y$2,$X$13:$AD$13,$X$14:$AD$14,B37:E37,$Y$8:$Y$11),"")</f>
        <v>MODEL@SABR_rho_0.2#21:40:54</v>
      </c>
      <c r="G37" s="64">
        <f>_xll.qlModelGetSABRInterpolatedValue($F37,G$1)</f>
        <v>0.41960629402312333</v>
      </c>
      <c r="H37" s="64">
        <f>_xll.qlModelGetSABRInterpolatedValue($F37,H$1)</f>
        <v>0.37223026607754311</v>
      </c>
      <c r="I37" s="64">
        <f>_xll.qlModelGetSABRInterpolatedValue($F37,I$1)</f>
        <v>0.34587291125423303</v>
      </c>
      <c r="J37" s="64">
        <f>_xll.qlModelGetSABRInterpolatedValue($F37,J$1)</f>
        <v>0.33775013689776295</v>
      </c>
      <c r="K37" s="64">
        <f>_xll.qlModelGetSABRInterpolatedValue($F37,K$1)</f>
        <v>0.34207290555576214</v>
      </c>
      <c r="L37" s="64">
        <f>_xll.qlModelGetSABRInterpolatedValue($F37,L$1)</f>
        <v>0.35264102905762518</v>
      </c>
      <c r="M37" s="65">
        <f>_xll.qlModelGetSABRInterpolatedValue($F37,M$1)</f>
        <v>0.36552432716685895</v>
      </c>
    </row>
    <row r="38" spans="1:13" x14ac:dyDescent="0.25">
      <c r="A38" s="72">
        <v>0.4</v>
      </c>
      <c r="B38" s="64">
        <f t="shared" si="12"/>
        <v>6.0050488724988818E-2</v>
      </c>
      <c r="C38" s="64">
        <f t="shared" si="13"/>
        <v>0.50000000000000011</v>
      </c>
      <c r="D38" s="64">
        <f t="shared" si="14"/>
        <v>0.75856980659593132</v>
      </c>
      <c r="E38" s="64">
        <f t="shared" si="15"/>
        <v>0.4</v>
      </c>
      <c r="F38" s="64" t="str">
        <f>IF(Y1,_xll.qlModelSABR("SABR_"&amp;A31&amp;"_"&amp;A38,$X$3,$Y$2,$X$13:$AD$13,$X$14:$AD$14,B38:E38,$Y$8:$Y$11),"")</f>
        <v>MODEL@SABR_rho_0.4#21:40:54</v>
      </c>
      <c r="G38" s="64">
        <f>_xll.qlModelGetSABRInterpolatedValue($F38,G$1)</f>
        <v>0.38026190760125256</v>
      </c>
      <c r="H38" s="64">
        <f>_xll.qlModelGetSABRInterpolatedValue($F38,H$1)</f>
        <v>0.34464623870706335</v>
      </c>
      <c r="I38" s="64">
        <f>_xll.qlModelGetSABRInterpolatedValue($F38,I$1)</f>
        <v>0.33211151385882448</v>
      </c>
      <c r="J38" s="64">
        <f>_xll.qlModelGetSABRInterpolatedValue($F38,J$1)</f>
        <v>0.33693348618754321</v>
      </c>
      <c r="K38" s="64">
        <f>_xll.qlModelGetSABRInterpolatedValue($F38,K$1)</f>
        <v>0.35056858361918425</v>
      </c>
      <c r="L38" s="64">
        <f>_xll.qlModelGetSABRInterpolatedValue($F38,L$1)</f>
        <v>0.3670427206940764</v>
      </c>
      <c r="M38" s="65">
        <f>_xll.qlModelGetSABRInterpolatedValue($F38,M$1)</f>
        <v>0.38364382337897235</v>
      </c>
    </row>
    <row r="39" spans="1:13" x14ac:dyDescent="0.25">
      <c r="A39" s="72">
        <v>0.6</v>
      </c>
      <c r="B39" s="64">
        <f t="shared" si="12"/>
        <v>6.0050488724988818E-2</v>
      </c>
      <c r="C39" s="64">
        <f t="shared" si="13"/>
        <v>0.50000000000000011</v>
      </c>
      <c r="D39" s="64">
        <f t="shared" si="14"/>
        <v>0.75856980659593132</v>
      </c>
      <c r="E39" s="64">
        <f t="shared" si="15"/>
        <v>0.6</v>
      </c>
      <c r="F39" s="64" t="str">
        <f>IF(Y1,_xll.qlModelSABR("SABR_"&amp;A31&amp;"_"&amp;A39,$X$3,$Y$2,$X$13:$AD$13,$X$14:$AD$14,B39:E39,$Y$8:$Y$11),"")</f>
        <v>MODEL@SABR_rho_0.6#21:40:54</v>
      </c>
      <c r="G39" s="64">
        <f>_xll.qlModelGetSABRInterpolatedValue($F39,G$1)</f>
        <v>0.33094876611788759</v>
      </c>
      <c r="H39" s="64">
        <f>_xll.qlModelGetSABRInterpolatedValue($F39,H$1)</f>
        <v>0.31061428171973338</v>
      </c>
      <c r="I39" s="64">
        <f>_xll.qlModelGetSABRInterpolatedValue($F39,I$1)</f>
        <v>0.31551910755655899</v>
      </c>
      <c r="J39" s="64">
        <f>_xll.qlModelGetSABRInterpolatedValue($F39,J$1)</f>
        <v>0.33426980683998347</v>
      </c>
      <c r="K39" s="64">
        <f>_xll.qlModelGetSABRInterpolatedValue($F39,K$1)</f>
        <v>0.35660274260646974</v>
      </c>
      <c r="L39" s="64">
        <f>_xll.qlModelGetSABRInterpolatedValue($F39,L$1)</f>
        <v>0.37824944908694924</v>
      </c>
      <c r="M39" s="65">
        <f>_xll.qlModelGetSABRInterpolatedValue($F39,M$1)</f>
        <v>0.39804949152080005</v>
      </c>
    </row>
    <row r="40" spans="1:13" ht="15.75" thickBot="1" x14ac:dyDescent="0.3">
      <c r="A40" s="73">
        <v>0.8</v>
      </c>
      <c r="B40" s="66">
        <f t="shared" si="12"/>
        <v>6.0050488724988818E-2</v>
      </c>
      <c r="C40" s="66">
        <f t="shared" si="13"/>
        <v>0.50000000000000011</v>
      </c>
      <c r="D40" s="66">
        <f t="shared" si="14"/>
        <v>0.75856980659593132</v>
      </c>
      <c r="E40" s="66">
        <f t="shared" si="15"/>
        <v>0.8</v>
      </c>
      <c r="F40" s="66" t="str">
        <f>IF(Y1,_xll.qlModelSABR("SABR_"&amp;A31&amp;"_"&amp;A40,$X$3,$Y$2,$X$13:$AD$13,$X$14:$AD$14,B40:E40,$Y$8:$Y$11),"")</f>
        <v>MODEL@SABR_rho_0.8#21:40:55</v>
      </c>
      <c r="G40" s="66">
        <f>_xll.qlModelGetSABRInterpolatedValue($F40,G$1)</f>
        <v>0.26401579608789522</v>
      </c>
      <c r="H40" s="66">
        <f>_xll.qlModelGetSABRInterpolatedValue($F40,H$1)</f>
        <v>0.26679720632116577</v>
      </c>
      <c r="I40" s="66">
        <f>_xll.qlModelGetSABRInterpolatedValue($F40,I$1)</f>
        <v>0.29599361624302079</v>
      </c>
      <c r="J40" s="66">
        <f>_xll.qlModelGetSABRInterpolatedValue($F40,J$1)</f>
        <v>0.32975909885508387</v>
      </c>
      <c r="K40" s="66">
        <f>_xll.qlModelGetSABRInterpolatedValue($F40,K$1)</f>
        <v>0.36009459157967488</v>
      </c>
      <c r="L40" s="66">
        <f>_xll.qlModelGetSABRInterpolatedValue($F40,L$1)</f>
        <v>0.38622403198167188</v>
      </c>
      <c r="M40" s="67">
        <f>_xll.qlModelGetSABRInterpolatedValue($F40,M$1)</f>
        <v>0.40874304622641144</v>
      </c>
    </row>
  </sheetData>
  <dataValidations count="1">
    <dataValidation type="list" allowBlank="1" showInputMessage="1" showErrorMessage="1" sqref="Y1">
      <formula1>"TRUE,FALSE"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H1:AN31"/>
  <sheetViews>
    <sheetView tabSelected="1" topLeftCell="B1" zoomScale="60" zoomScaleNormal="60" workbookViewId="0">
      <selection activeCell="AG39" sqref="AG39"/>
    </sheetView>
  </sheetViews>
  <sheetFormatPr defaultRowHeight="15" x14ac:dyDescent="0.25"/>
  <cols>
    <col min="1" max="1" width="12.7109375" customWidth="1"/>
    <col min="2" max="2" width="10.140625" bestFit="1" customWidth="1"/>
    <col min="3" max="3" width="10.7109375" customWidth="1"/>
    <col min="4" max="5" width="12" bestFit="1" customWidth="1"/>
    <col min="6" max="6" width="9.28515625" customWidth="1"/>
    <col min="7" max="7" width="11.7109375" customWidth="1"/>
    <col min="9" max="9" width="10.7109375" bestFit="1" customWidth="1"/>
    <col min="10" max="10" width="13.85546875" customWidth="1"/>
    <col min="12" max="12" width="16" customWidth="1"/>
    <col min="21" max="22" width="9.7109375" bestFit="1" customWidth="1"/>
    <col min="28" max="28" width="10.5703125" customWidth="1"/>
    <col min="29" max="29" width="10.85546875" customWidth="1"/>
    <col min="30" max="30" width="9.5703125" customWidth="1"/>
    <col min="31" max="31" width="8.140625" customWidth="1"/>
    <col min="32" max="32" width="9.7109375" customWidth="1"/>
    <col min="33" max="33" width="13.85546875" customWidth="1"/>
    <col min="34" max="34" width="8.42578125" customWidth="1"/>
    <col min="35" max="35" width="9.5703125" bestFit="1" customWidth="1"/>
    <col min="36" max="36" width="8.42578125" customWidth="1"/>
    <col min="37" max="37" width="9.5703125" bestFit="1" customWidth="1"/>
    <col min="38" max="38" width="8.42578125" customWidth="1"/>
    <col min="39" max="39" width="9.5703125" bestFit="1" customWidth="1"/>
    <col min="40" max="40" width="8.42578125" customWidth="1"/>
    <col min="246" max="246" width="11.28515625" customWidth="1"/>
    <col min="247" max="247" width="10.140625" bestFit="1" customWidth="1"/>
    <col min="248" max="248" width="10.7109375" customWidth="1"/>
    <col min="249" max="249" width="9.28515625" customWidth="1"/>
    <col min="251" max="251" width="9.28515625" customWidth="1"/>
    <col min="252" max="252" width="11.140625" bestFit="1" customWidth="1"/>
    <col min="254" max="254" width="9.5703125" bestFit="1" customWidth="1"/>
    <col min="257" max="257" width="11.7109375" customWidth="1"/>
    <col min="502" max="502" width="11.28515625" customWidth="1"/>
    <col min="503" max="503" width="10.140625" bestFit="1" customWidth="1"/>
    <col min="504" max="504" width="10.7109375" customWidth="1"/>
    <col min="505" max="505" width="9.28515625" customWidth="1"/>
    <col min="507" max="507" width="9.28515625" customWidth="1"/>
    <col min="508" max="508" width="11.140625" bestFit="1" customWidth="1"/>
    <col min="510" max="510" width="9.5703125" bestFit="1" customWidth="1"/>
    <col min="513" max="513" width="11.7109375" customWidth="1"/>
    <col min="758" max="758" width="11.28515625" customWidth="1"/>
    <col min="759" max="759" width="10.140625" bestFit="1" customWidth="1"/>
    <col min="760" max="760" width="10.7109375" customWidth="1"/>
    <col min="761" max="761" width="9.28515625" customWidth="1"/>
    <col min="763" max="763" width="9.28515625" customWidth="1"/>
    <col min="764" max="764" width="11.140625" bestFit="1" customWidth="1"/>
    <col min="766" max="766" width="9.5703125" bestFit="1" customWidth="1"/>
    <col min="769" max="769" width="11.7109375" customWidth="1"/>
    <col min="1014" max="1014" width="11.28515625" customWidth="1"/>
    <col min="1015" max="1015" width="10.140625" bestFit="1" customWidth="1"/>
    <col min="1016" max="1016" width="10.7109375" customWidth="1"/>
    <col min="1017" max="1017" width="9.28515625" customWidth="1"/>
    <col min="1019" max="1019" width="9.28515625" customWidth="1"/>
    <col min="1020" max="1020" width="11.140625" bestFit="1" customWidth="1"/>
    <col min="1022" max="1022" width="9.5703125" bestFit="1" customWidth="1"/>
    <col min="1025" max="1025" width="11.7109375" customWidth="1"/>
    <col min="1270" max="1270" width="11.28515625" customWidth="1"/>
    <col min="1271" max="1271" width="10.140625" bestFit="1" customWidth="1"/>
    <col min="1272" max="1272" width="10.7109375" customWidth="1"/>
    <col min="1273" max="1273" width="9.28515625" customWidth="1"/>
    <col min="1275" max="1275" width="9.28515625" customWidth="1"/>
    <col min="1276" max="1276" width="11.140625" bestFit="1" customWidth="1"/>
    <col min="1278" max="1278" width="9.5703125" bestFit="1" customWidth="1"/>
    <col min="1281" max="1281" width="11.7109375" customWidth="1"/>
    <col min="1526" max="1526" width="11.28515625" customWidth="1"/>
    <col min="1527" max="1527" width="10.140625" bestFit="1" customWidth="1"/>
    <col min="1528" max="1528" width="10.7109375" customWidth="1"/>
    <col min="1529" max="1529" width="9.28515625" customWidth="1"/>
    <col min="1531" max="1531" width="9.28515625" customWidth="1"/>
    <col min="1532" max="1532" width="11.140625" bestFit="1" customWidth="1"/>
    <col min="1534" max="1534" width="9.5703125" bestFit="1" customWidth="1"/>
    <col min="1537" max="1537" width="11.7109375" customWidth="1"/>
    <col min="1782" max="1782" width="11.28515625" customWidth="1"/>
    <col min="1783" max="1783" width="10.140625" bestFit="1" customWidth="1"/>
    <col min="1784" max="1784" width="10.7109375" customWidth="1"/>
    <col min="1785" max="1785" width="9.28515625" customWidth="1"/>
    <col min="1787" max="1787" width="9.28515625" customWidth="1"/>
    <col min="1788" max="1788" width="11.140625" bestFit="1" customWidth="1"/>
    <col min="1790" max="1790" width="9.5703125" bestFit="1" customWidth="1"/>
    <col min="1793" max="1793" width="11.7109375" customWidth="1"/>
    <col min="2038" max="2038" width="11.28515625" customWidth="1"/>
    <col min="2039" max="2039" width="10.140625" bestFit="1" customWidth="1"/>
    <col min="2040" max="2040" width="10.7109375" customWidth="1"/>
    <col min="2041" max="2041" width="9.28515625" customWidth="1"/>
    <col min="2043" max="2043" width="9.28515625" customWidth="1"/>
    <col min="2044" max="2044" width="11.140625" bestFit="1" customWidth="1"/>
    <col min="2046" max="2046" width="9.5703125" bestFit="1" customWidth="1"/>
    <col min="2049" max="2049" width="11.7109375" customWidth="1"/>
    <col min="2294" max="2294" width="11.28515625" customWidth="1"/>
    <col min="2295" max="2295" width="10.140625" bestFit="1" customWidth="1"/>
    <col min="2296" max="2296" width="10.7109375" customWidth="1"/>
    <col min="2297" max="2297" width="9.28515625" customWidth="1"/>
    <col min="2299" max="2299" width="9.28515625" customWidth="1"/>
    <col min="2300" max="2300" width="11.140625" bestFit="1" customWidth="1"/>
    <col min="2302" max="2302" width="9.5703125" bestFit="1" customWidth="1"/>
    <col min="2305" max="2305" width="11.7109375" customWidth="1"/>
    <col min="2550" max="2550" width="11.28515625" customWidth="1"/>
    <col min="2551" max="2551" width="10.140625" bestFit="1" customWidth="1"/>
    <col min="2552" max="2552" width="10.7109375" customWidth="1"/>
    <col min="2553" max="2553" width="9.28515625" customWidth="1"/>
    <col min="2555" max="2555" width="9.28515625" customWidth="1"/>
    <col min="2556" max="2556" width="11.140625" bestFit="1" customWidth="1"/>
    <col min="2558" max="2558" width="9.5703125" bestFit="1" customWidth="1"/>
    <col min="2561" max="2561" width="11.7109375" customWidth="1"/>
    <col min="2806" max="2806" width="11.28515625" customWidth="1"/>
    <col min="2807" max="2807" width="10.140625" bestFit="1" customWidth="1"/>
    <col min="2808" max="2808" width="10.7109375" customWidth="1"/>
    <col min="2809" max="2809" width="9.28515625" customWidth="1"/>
    <col min="2811" max="2811" width="9.28515625" customWidth="1"/>
    <col min="2812" max="2812" width="11.140625" bestFit="1" customWidth="1"/>
    <col min="2814" max="2814" width="9.5703125" bestFit="1" customWidth="1"/>
    <col min="2817" max="2817" width="11.7109375" customWidth="1"/>
    <col min="3062" max="3062" width="11.28515625" customWidth="1"/>
    <col min="3063" max="3063" width="10.140625" bestFit="1" customWidth="1"/>
    <col min="3064" max="3064" width="10.7109375" customWidth="1"/>
    <col min="3065" max="3065" width="9.28515625" customWidth="1"/>
    <col min="3067" max="3067" width="9.28515625" customWidth="1"/>
    <col min="3068" max="3068" width="11.140625" bestFit="1" customWidth="1"/>
    <col min="3070" max="3070" width="9.5703125" bestFit="1" customWidth="1"/>
    <col min="3073" max="3073" width="11.7109375" customWidth="1"/>
    <col min="3318" max="3318" width="11.28515625" customWidth="1"/>
    <col min="3319" max="3319" width="10.140625" bestFit="1" customWidth="1"/>
    <col min="3320" max="3320" width="10.7109375" customWidth="1"/>
    <col min="3321" max="3321" width="9.28515625" customWidth="1"/>
    <col min="3323" max="3323" width="9.28515625" customWidth="1"/>
    <col min="3324" max="3324" width="11.140625" bestFit="1" customWidth="1"/>
    <col min="3326" max="3326" width="9.5703125" bestFit="1" customWidth="1"/>
    <col min="3329" max="3329" width="11.7109375" customWidth="1"/>
    <col min="3574" max="3574" width="11.28515625" customWidth="1"/>
    <col min="3575" max="3575" width="10.140625" bestFit="1" customWidth="1"/>
    <col min="3576" max="3576" width="10.7109375" customWidth="1"/>
    <col min="3577" max="3577" width="9.28515625" customWidth="1"/>
    <col min="3579" max="3579" width="9.28515625" customWidth="1"/>
    <col min="3580" max="3580" width="11.140625" bestFit="1" customWidth="1"/>
    <col min="3582" max="3582" width="9.5703125" bestFit="1" customWidth="1"/>
    <col min="3585" max="3585" width="11.7109375" customWidth="1"/>
    <col min="3830" max="3830" width="11.28515625" customWidth="1"/>
    <col min="3831" max="3831" width="10.140625" bestFit="1" customWidth="1"/>
    <col min="3832" max="3832" width="10.7109375" customWidth="1"/>
    <col min="3833" max="3833" width="9.28515625" customWidth="1"/>
    <col min="3835" max="3835" width="9.28515625" customWidth="1"/>
    <col min="3836" max="3836" width="11.140625" bestFit="1" customWidth="1"/>
    <col min="3838" max="3838" width="9.5703125" bestFit="1" customWidth="1"/>
    <col min="3841" max="3841" width="11.7109375" customWidth="1"/>
    <col min="4086" max="4086" width="11.28515625" customWidth="1"/>
    <col min="4087" max="4087" width="10.140625" bestFit="1" customWidth="1"/>
    <col min="4088" max="4088" width="10.7109375" customWidth="1"/>
    <col min="4089" max="4089" width="9.28515625" customWidth="1"/>
    <col min="4091" max="4091" width="9.28515625" customWidth="1"/>
    <col min="4092" max="4092" width="11.140625" bestFit="1" customWidth="1"/>
    <col min="4094" max="4094" width="9.5703125" bestFit="1" customWidth="1"/>
    <col min="4097" max="4097" width="11.7109375" customWidth="1"/>
    <col min="4342" max="4342" width="11.28515625" customWidth="1"/>
    <col min="4343" max="4343" width="10.140625" bestFit="1" customWidth="1"/>
    <col min="4344" max="4344" width="10.7109375" customWidth="1"/>
    <col min="4345" max="4345" width="9.28515625" customWidth="1"/>
    <col min="4347" max="4347" width="9.28515625" customWidth="1"/>
    <col min="4348" max="4348" width="11.140625" bestFit="1" customWidth="1"/>
    <col min="4350" max="4350" width="9.5703125" bestFit="1" customWidth="1"/>
    <col min="4353" max="4353" width="11.7109375" customWidth="1"/>
    <col min="4598" max="4598" width="11.28515625" customWidth="1"/>
    <col min="4599" max="4599" width="10.140625" bestFit="1" customWidth="1"/>
    <col min="4600" max="4600" width="10.7109375" customWidth="1"/>
    <col min="4601" max="4601" width="9.28515625" customWidth="1"/>
    <col min="4603" max="4603" width="9.28515625" customWidth="1"/>
    <col min="4604" max="4604" width="11.140625" bestFit="1" customWidth="1"/>
    <col min="4606" max="4606" width="9.5703125" bestFit="1" customWidth="1"/>
    <col min="4609" max="4609" width="11.7109375" customWidth="1"/>
    <col min="4854" max="4854" width="11.28515625" customWidth="1"/>
    <col min="4855" max="4855" width="10.140625" bestFit="1" customWidth="1"/>
    <col min="4856" max="4856" width="10.7109375" customWidth="1"/>
    <col min="4857" max="4857" width="9.28515625" customWidth="1"/>
    <col min="4859" max="4859" width="9.28515625" customWidth="1"/>
    <col min="4860" max="4860" width="11.140625" bestFit="1" customWidth="1"/>
    <col min="4862" max="4862" width="9.5703125" bestFit="1" customWidth="1"/>
    <col min="4865" max="4865" width="11.7109375" customWidth="1"/>
    <col min="5110" max="5110" width="11.28515625" customWidth="1"/>
    <col min="5111" max="5111" width="10.140625" bestFit="1" customWidth="1"/>
    <col min="5112" max="5112" width="10.7109375" customWidth="1"/>
    <col min="5113" max="5113" width="9.28515625" customWidth="1"/>
    <col min="5115" max="5115" width="9.28515625" customWidth="1"/>
    <col min="5116" max="5116" width="11.140625" bestFit="1" customWidth="1"/>
    <col min="5118" max="5118" width="9.5703125" bestFit="1" customWidth="1"/>
    <col min="5121" max="5121" width="11.7109375" customWidth="1"/>
    <col min="5366" max="5366" width="11.28515625" customWidth="1"/>
    <col min="5367" max="5367" width="10.140625" bestFit="1" customWidth="1"/>
    <col min="5368" max="5368" width="10.7109375" customWidth="1"/>
    <col min="5369" max="5369" width="9.28515625" customWidth="1"/>
    <col min="5371" max="5371" width="9.28515625" customWidth="1"/>
    <col min="5372" max="5372" width="11.140625" bestFit="1" customWidth="1"/>
    <col min="5374" max="5374" width="9.5703125" bestFit="1" customWidth="1"/>
    <col min="5377" max="5377" width="11.7109375" customWidth="1"/>
    <col min="5622" max="5622" width="11.28515625" customWidth="1"/>
    <col min="5623" max="5623" width="10.140625" bestFit="1" customWidth="1"/>
    <col min="5624" max="5624" width="10.7109375" customWidth="1"/>
    <col min="5625" max="5625" width="9.28515625" customWidth="1"/>
    <col min="5627" max="5627" width="9.28515625" customWidth="1"/>
    <col min="5628" max="5628" width="11.140625" bestFit="1" customWidth="1"/>
    <col min="5630" max="5630" width="9.5703125" bestFit="1" customWidth="1"/>
    <col min="5633" max="5633" width="11.7109375" customWidth="1"/>
    <col min="5878" max="5878" width="11.28515625" customWidth="1"/>
    <col min="5879" max="5879" width="10.140625" bestFit="1" customWidth="1"/>
    <col min="5880" max="5880" width="10.7109375" customWidth="1"/>
    <col min="5881" max="5881" width="9.28515625" customWidth="1"/>
    <col min="5883" max="5883" width="9.28515625" customWidth="1"/>
    <col min="5884" max="5884" width="11.140625" bestFit="1" customWidth="1"/>
    <col min="5886" max="5886" width="9.5703125" bestFit="1" customWidth="1"/>
    <col min="5889" max="5889" width="11.7109375" customWidth="1"/>
    <col min="6134" max="6134" width="11.28515625" customWidth="1"/>
    <col min="6135" max="6135" width="10.140625" bestFit="1" customWidth="1"/>
    <col min="6136" max="6136" width="10.7109375" customWidth="1"/>
    <col min="6137" max="6137" width="9.28515625" customWidth="1"/>
    <col min="6139" max="6139" width="9.28515625" customWidth="1"/>
    <col min="6140" max="6140" width="11.140625" bestFit="1" customWidth="1"/>
    <col min="6142" max="6142" width="9.5703125" bestFit="1" customWidth="1"/>
    <col min="6145" max="6145" width="11.7109375" customWidth="1"/>
    <col min="6390" max="6390" width="11.28515625" customWidth="1"/>
    <col min="6391" max="6391" width="10.140625" bestFit="1" customWidth="1"/>
    <col min="6392" max="6392" width="10.7109375" customWidth="1"/>
    <col min="6393" max="6393" width="9.28515625" customWidth="1"/>
    <col min="6395" max="6395" width="9.28515625" customWidth="1"/>
    <col min="6396" max="6396" width="11.140625" bestFit="1" customWidth="1"/>
    <col min="6398" max="6398" width="9.5703125" bestFit="1" customWidth="1"/>
    <col min="6401" max="6401" width="11.7109375" customWidth="1"/>
    <col min="6646" max="6646" width="11.28515625" customWidth="1"/>
    <col min="6647" max="6647" width="10.140625" bestFit="1" customWidth="1"/>
    <col min="6648" max="6648" width="10.7109375" customWidth="1"/>
    <col min="6649" max="6649" width="9.28515625" customWidth="1"/>
    <col min="6651" max="6651" width="9.28515625" customWidth="1"/>
    <col min="6652" max="6652" width="11.140625" bestFit="1" customWidth="1"/>
    <col min="6654" max="6654" width="9.5703125" bestFit="1" customWidth="1"/>
    <col min="6657" max="6657" width="11.7109375" customWidth="1"/>
    <col min="6902" max="6902" width="11.28515625" customWidth="1"/>
    <col min="6903" max="6903" width="10.140625" bestFit="1" customWidth="1"/>
    <col min="6904" max="6904" width="10.7109375" customWidth="1"/>
    <col min="6905" max="6905" width="9.28515625" customWidth="1"/>
    <col min="6907" max="6907" width="9.28515625" customWidth="1"/>
    <col min="6908" max="6908" width="11.140625" bestFit="1" customWidth="1"/>
    <col min="6910" max="6910" width="9.5703125" bestFit="1" customWidth="1"/>
    <col min="6913" max="6913" width="11.7109375" customWidth="1"/>
    <col min="7158" max="7158" width="11.28515625" customWidth="1"/>
    <col min="7159" max="7159" width="10.140625" bestFit="1" customWidth="1"/>
    <col min="7160" max="7160" width="10.7109375" customWidth="1"/>
    <col min="7161" max="7161" width="9.28515625" customWidth="1"/>
    <col min="7163" max="7163" width="9.28515625" customWidth="1"/>
    <col min="7164" max="7164" width="11.140625" bestFit="1" customWidth="1"/>
    <col min="7166" max="7166" width="9.5703125" bestFit="1" customWidth="1"/>
    <col min="7169" max="7169" width="11.7109375" customWidth="1"/>
    <col min="7414" max="7414" width="11.28515625" customWidth="1"/>
    <col min="7415" max="7415" width="10.140625" bestFit="1" customWidth="1"/>
    <col min="7416" max="7416" width="10.7109375" customWidth="1"/>
    <col min="7417" max="7417" width="9.28515625" customWidth="1"/>
    <col min="7419" max="7419" width="9.28515625" customWidth="1"/>
    <col min="7420" max="7420" width="11.140625" bestFit="1" customWidth="1"/>
    <col min="7422" max="7422" width="9.5703125" bestFit="1" customWidth="1"/>
    <col min="7425" max="7425" width="11.7109375" customWidth="1"/>
    <col min="7670" max="7670" width="11.28515625" customWidth="1"/>
    <col min="7671" max="7671" width="10.140625" bestFit="1" customWidth="1"/>
    <col min="7672" max="7672" width="10.7109375" customWidth="1"/>
    <col min="7673" max="7673" width="9.28515625" customWidth="1"/>
    <col min="7675" max="7675" width="9.28515625" customWidth="1"/>
    <col min="7676" max="7676" width="11.140625" bestFit="1" customWidth="1"/>
    <col min="7678" max="7678" width="9.5703125" bestFit="1" customWidth="1"/>
    <col min="7681" max="7681" width="11.7109375" customWidth="1"/>
    <col min="7926" max="7926" width="11.28515625" customWidth="1"/>
    <col min="7927" max="7927" width="10.140625" bestFit="1" customWidth="1"/>
    <col min="7928" max="7928" width="10.7109375" customWidth="1"/>
    <col min="7929" max="7929" width="9.28515625" customWidth="1"/>
    <col min="7931" max="7931" width="9.28515625" customWidth="1"/>
    <col min="7932" max="7932" width="11.140625" bestFit="1" customWidth="1"/>
    <col min="7934" max="7934" width="9.5703125" bestFit="1" customWidth="1"/>
    <col min="7937" max="7937" width="11.7109375" customWidth="1"/>
    <col min="8182" max="8182" width="11.28515625" customWidth="1"/>
    <col min="8183" max="8183" width="10.140625" bestFit="1" customWidth="1"/>
    <col min="8184" max="8184" width="10.7109375" customWidth="1"/>
    <col min="8185" max="8185" width="9.28515625" customWidth="1"/>
    <col min="8187" max="8187" width="9.28515625" customWidth="1"/>
    <col min="8188" max="8188" width="11.140625" bestFit="1" customWidth="1"/>
    <col min="8190" max="8190" width="9.5703125" bestFit="1" customWidth="1"/>
    <col min="8193" max="8193" width="11.7109375" customWidth="1"/>
    <col min="8438" max="8438" width="11.28515625" customWidth="1"/>
    <col min="8439" max="8439" width="10.140625" bestFit="1" customWidth="1"/>
    <col min="8440" max="8440" width="10.7109375" customWidth="1"/>
    <col min="8441" max="8441" width="9.28515625" customWidth="1"/>
    <col min="8443" max="8443" width="9.28515625" customWidth="1"/>
    <col min="8444" max="8444" width="11.140625" bestFit="1" customWidth="1"/>
    <col min="8446" max="8446" width="9.5703125" bestFit="1" customWidth="1"/>
    <col min="8449" max="8449" width="11.7109375" customWidth="1"/>
    <col min="8694" max="8694" width="11.28515625" customWidth="1"/>
    <col min="8695" max="8695" width="10.140625" bestFit="1" customWidth="1"/>
    <col min="8696" max="8696" width="10.7109375" customWidth="1"/>
    <col min="8697" max="8697" width="9.28515625" customWidth="1"/>
    <col min="8699" max="8699" width="9.28515625" customWidth="1"/>
    <col min="8700" max="8700" width="11.140625" bestFit="1" customWidth="1"/>
    <col min="8702" max="8702" width="9.5703125" bestFit="1" customWidth="1"/>
    <col min="8705" max="8705" width="11.7109375" customWidth="1"/>
    <col min="8950" max="8950" width="11.28515625" customWidth="1"/>
    <col min="8951" max="8951" width="10.140625" bestFit="1" customWidth="1"/>
    <col min="8952" max="8952" width="10.7109375" customWidth="1"/>
    <col min="8953" max="8953" width="9.28515625" customWidth="1"/>
    <col min="8955" max="8955" width="9.28515625" customWidth="1"/>
    <col min="8956" max="8956" width="11.140625" bestFit="1" customWidth="1"/>
    <col min="8958" max="8958" width="9.5703125" bestFit="1" customWidth="1"/>
    <col min="8961" max="8961" width="11.7109375" customWidth="1"/>
    <col min="9206" max="9206" width="11.28515625" customWidth="1"/>
    <col min="9207" max="9207" width="10.140625" bestFit="1" customWidth="1"/>
    <col min="9208" max="9208" width="10.7109375" customWidth="1"/>
    <col min="9209" max="9209" width="9.28515625" customWidth="1"/>
    <col min="9211" max="9211" width="9.28515625" customWidth="1"/>
    <col min="9212" max="9212" width="11.140625" bestFit="1" customWidth="1"/>
    <col min="9214" max="9214" width="9.5703125" bestFit="1" customWidth="1"/>
    <col min="9217" max="9217" width="11.7109375" customWidth="1"/>
    <col min="9462" max="9462" width="11.28515625" customWidth="1"/>
    <col min="9463" max="9463" width="10.140625" bestFit="1" customWidth="1"/>
    <col min="9464" max="9464" width="10.7109375" customWidth="1"/>
    <col min="9465" max="9465" width="9.28515625" customWidth="1"/>
    <col min="9467" max="9467" width="9.28515625" customWidth="1"/>
    <col min="9468" max="9468" width="11.140625" bestFit="1" customWidth="1"/>
    <col min="9470" max="9470" width="9.5703125" bestFit="1" customWidth="1"/>
    <col min="9473" max="9473" width="11.7109375" customWidth="1"/>
    <col min="9718" max="9718" width="11.28515625" customWidth="1"/>
    <col min="9719" max="9719" width="10.140625" bestFit="1" customWidth="1"/>
    <col min="9720" max="9720" width="10.7109375" customWidth="1"/>
    <col min="9721" max="9721" width="9.28515625" customWidth="1"/>
    <col min="9723" max="9723" width="9.28515625" customWidth="1"/>
    <col min="9724" max="9724" width="11.140625" bestFit="1" customWidth="1"/>
    <col min="9726" max="9726" width="9.5703125" bestFit="1" customWidth="1"/>
    <col min="9729" max="9729" width="11.7109375" customWidth="1"/>
    <col min="9974" max="9974" width="11.28515625" customWidth="1"/>
    <col min="9975" max="9975" width="10.140625" bestFit="1" customWidth="1"/>
    <col min="9976" max="9976" width="10.7109375" customWidth="1"/>
    <col min="9977" max="9977" width="9.28515625" customWidth="1"/>
    <col min="9979" max="9979" width="9.28515625" customWidth="1"/>
    <col min="9980" max="9980" width="11.140625" bestFit="1" customWidth="1"/>
    <col min="9982" max="9982" width="9.5703125" bestFit="1" customWidth="1"/>
    <col min="9985" max="9985" width="11.7109375" customWidth="1"/>
    <col min="10230" max="10230" width="11.28515625" customWidth="1"/>
    <col min="10231" max="10231" width="10.140625" bestFit="1" customWidth="1"/>
    <col min="10232" max="10232" width="10.7109375" customWidth="1"/>
    <col min="10233" max="10233" width="9.28515625" customWidth="1"/>
    <col min="10235" max="10235" width="9.28515625" customWidth="1"/>
    <col min="10236" max="10236" width="11.140625" bestFit="1" customWidth="1"/>
    <col min="10238" max="10238" width="9.5703125" bestFit="1" customWidth="1"/>
    <col min="10241" max="10241" width="11.7109375" customWidth="1"/>
    <col min="10486" max="10486" width="11.28515625" customWidth="1"/>
    <col min="10487" max="10487" width="10.140625" bestFit="1" customWidth="1"/>
    <col min="10488" max="10488" width="10.7109375" customWidth="1"/>
    <col min="10489" max="10489" width="9.28515625" customWidth="1"/>
    <col min="10491" max="10491" width="9.28515625" customWidth="1"/>
    <col min="10492" max="10492" width="11.140625" bestFit="1" customWidth="1"/>
    <col min="10494" max="10494" width="9.5703125" bestFit="1" customWidth="1"/>
    <col min="10497" max="10497" width="11.7109375" customWidth="1"/>
    <col min="10742" max="10742" width="11.28515625" customWidth="1"/>
    <col min="10743" max="10743" width="10.140625" bestFit="1" customWidth="1"/>
    <col min="10744" max="10744" width="10.7109375" customWidth="1"/>
    <col min="10745" max="10745" width="9.28515625" customWidth="1"/>
    <col min="10747" max="10747" width="9.28515625" customWidth="1"/>
    <col min="10748" max="10748" width="11.140625" bestFit="1" customWidth="1"/>
    <col min="10750" max="10750" width="9.5703125" bestFit="1" customWidth="1"/>
    <col min="10753" max="10753" width="11.7109375" customWidth="1"/>
    <col min="10998" max="10998" width="11.28515625" customWidth="1"/>
    <col min="10999" max="10999" width="10.140625" bestFit="1" customWidth="1"/>
    <col min="11000" max="11000" width="10.7109375" customWidth="1"/>
    <col min="11001" max="11001" width="9.28515625" customWidth="1"/>
    <col min="11003" max="11003" width="9.28515625" customWidth="1"/>
    <col min="11004" max="11004" width="11.140625" bestFit="1" customWidth="1"/>
    <col min="11006" max="11006" width="9.5703125" bestFit="1" customWidth="1"/>
    <col min="11009" max="11009" width="11.7109375" customWidth="1"/>
    <col min="11254" max="11254" width="11.28515625" customWidth="1"/>
    <col min="11255" max="11255" width="10.140625" bestFit="1" customWidth="1"/>
    <col min="11256" max="11256" width="10.7109375" customWidth="1"/>
    <col min="11257" max="11257" width="9.28515625" customWidth="1"/>
    <col min="11259" max="11259" width="9.28515625" customWidth="1"/>
    <col min="11260" max="11260" width="11.140625" bestFit="1" customWidth="1"/>
    <col min="11262" max="11262" width="9.5703125" bestFit="1" customWidth="1"/>
    <col min="11265" max="11265" width="11.7109375" customWidth="1"/>
    <col min="11510" max="11510" width="11.28515625" customWidth="1"/>
    <col min="11511" max="11511" width="10.140625" bestFit="1" customWidth="1"/>
    <col min="11512" max="11512" width="10.7109375" customWidth="1"/>
    <col min="11513" max="11513" width="9.28515625" customWidth="1"/>
    <col min="11515" max="11515" width="9.28515625" customWidth="1"/>
    <col min="11516" max="11516" width="11.140625" bestFit="1" customWidth="1"/>
    <col min="11518" max="11518" width="9.5703125" bestFit="1" customWidth="1"/>
    <col min="11521" max="11521" width="11.7109375" customWidth="1"/>
    <col min="11766" max="11766" width="11.28515625" customWidth="1"/>
    <col min="11767" max="11767" width="10.140625" bestFit="1" customWidth="1"/>
    <col min="11768" max="11768" width="10.7109375" customWidth="1"/>
    <col min="11769" max="11769" width="9.28515625" customWidth="1"/>
    <col min="11771" max="11771" width="9.28515625" customWidth="1"/>
    <col min="11772" max="11772" width="11.140625" bestFit="1" customWidth="1"/>
    <col min="11774" max="11774" width="9.5703125" bestFit="1" customWidth="1"/>
    <col min="11777" max="11777" width="11.7109375" customWidth="1"/>
    <col min="12022" max="12022" width="11.28515625" customWidth="1"/>
    <col min="12023" max="12023" width="10.140625" bestFit="1" customWidth="1"/>
    <col min="12024" max="12024" width="10.7109375" customWidth="1"/>
    <col min="12025" max="12025" width="9.28515625" customWidth="1"/>
    <col min="12027" max="12027" width="9.28515625" customWidth="1"/>
    <col min="12028" max="12028" width="11.140625" bestFit="1" customWidth="1"/>
    <col min="12030" max="12030" width="9.5703125" bestFit="1" customWidth="1"/>
    <col min="12033" max="12033" width="11.7109375" customWidth="1"/>
    <col min="12278" max="12278" width="11.28515625" customWidth="1"/>
    <col min="12279" max="12279" width="10.140625" bestFit="1" customWidth="1"/>
    <col min="12280" max="12280" width="10.7109375" customWidth="1"/>
    <col min="12281" max="12281" width="9.28515625" customWidth="1"/>
    <col min="12283" max="12283" width="9.28515625" customWidth="1"/>
    <col min="12284" max="12284" width="11.140625" bestFit="1" customWidth="1"/>
    <col min="12286" max="12286" width="9.5703125" bestFit="1" customWidth="1"/>
    <col min="12289" max="12289" width="11.7109375" customWidth="1"/>
    <col min="12534" max="12534" width="11.28515625" customWidth="1"/>
    <col min="12535" max="12535" width="10.140625" bestFit="1" customWidth="1"/>
    <col min="12536" max="12536" width="10.7109375" customWidth="1"/>
    <col min="12537" max="12537" width="9.28515625" customWidth="1"/>
    <col min="12539" max="12539" width="9.28515625" customWidth="1"/>
    <col min="12540" max="12540" width="11.140625" bestFit="1" customWidth="1"/>
    <col min="12542" max="12542" width="9.5703125" bestFit="1" customWidth="1"/>
    <col min="12545" max="12545" width="11.7109375" customWidth="1"/>
    <col min="12790" max="12790" width="11.28515625" customWidth="1"/>
    <col min="12791" max="12791" width="10.140625" bestFit="1" customWidth="1"/>
    <col min="12792" max="12792" width="10.7109375" customWidth="1"/>
    <col min="12793" max="12793" width="9.28515625" customWidth="1"/>
    <col min="12795" max="12795" width="9.28515625" customWidth="1"/>
    <col min="12796" max="12796" width="11.140625" bestFit="1" customWidth="1"/>
    <col min="12798" max="12798" width="9.5703125" bestFit="1" customWidth="1"/>
    <col min="12801" max="12801" width="11.7109375" customWidth="1"/>
    <col min="13046" max="13046" width="11.28515625" customWidth="1"/>
    <col min="13047" max="13047" width="10.140625" bestFit="1" customWidth="1"/>
    <col min="13048" max="13048" width="10.7109375" customWidth="1"/>
    <col min="13049" max="13049" width="9.28515625" customWidth="1"/>
    <col min="13051" max="13051" width="9.28515625" customWidth="1"/>
    <col min="13052" max="13052" width="11.140625" bestFit="1" customWidth="1"/>
    <col min="13054" max="13054" width="9.5703125" bestFit="1" customWidth="1"/>
    <col min="13057" max="13057" width="11.7109375" customWidth="1"/>
    <col min="13302" max="13302" width="11.28515625" customWidth="1"/>
    <col min="13303" max="13303" width="10.140625" bestFit="1" customWidth="1"/>
    <col min="13304" max="13304" width="10.7109375" customWidth="1"/>
    <col min="13305" max="13305" width="9.28515625" customWidth="1"/>
    <col min="13307" max="13307" width="9.28515625" customWidth="1"/>
    <col min="13308" max="13308" width="11.140625" bestFit="1" customWidth="1"/>
    <col min="13310" max="13310" width="9.5703125" bestFit="1" customWidth="1"/>
    <col min="13313" max="13313" width="11.7109375" customWidth="1"/>
    <col min="13558" max="13558" width="11.28515625" customWidth="1"/>
    <col min="13559" max="13559" width="10.140625" bestFit="1" customWidth="1"/>
    <col min="13560" max="13560" width="10.7109375" customWidth="1"/>
    <col min="13561" max="13561" width="9.28515625" customWidth="1"/>
    <col min="13563" max="13563" width="9.28515625" customWidth="1"/>
    <col min="13564" max="13564" width="11.140625" bestFit="1" customWidth="1"/>
    <col min="13566" max="13566" width="9.5703125" bestFit="1" customWidth="1"/>
    <col min="13569" max="13569" width="11.7109375" customWidth="1"/>
    <col min="13814" max="13814" width="11.28515625" customWidth="1"/>
    <col min="13815" max="13815" width="10.140625" bestFit="1" customWidth="1"/>
    <col min="13816" max="13816" width="10.7109375" customWidth="1"/>
    <col min="13817" max="13817" width="9.28515625" customWidth="1"/>
    <col min="13819" max="13819" width="9.28515625" customWidth="1"/>
    <col min="13820" max="13820" width="11.140625" bestFit="1" customWidth="1"/>
    <col min="13822" max="13822" width="9.5703125" bestFit="1" customWidth="1"/>
    <col min="13825" max="13825" width="11.7109375" customWidth="1"/>
    <col min="14070" max="14070" width="11.28515625" customWidth="1"/>
    <col min="14071" max="14071" width="10.140625" bestFit="1" customWidth="1"/>
    <col min="14072" max="14072" width="10.7109375" customWidth="1"/>
    <col min="14073" max="14073" width="9.28515625" customWidth="1"/>
    <col min="14075" max="14075" width="9.28515625" customWidth="1"/>
    <col min="14076" max="14076" width="11.140625" bestFit="1" customWidth="1"/>
    <col min="14078" max="14078" width="9.5703125" bestFit="1" customWidth="1"/>
    <col min="14081" max="14081" width="11.7109375" customWidth="1"/>
    <col min="14326" max="14326" width="11.28515625" customWidth="1"/>
    <col min="14327" max="14327" width="10.140625" bestFit="1" customWidth="1"/>
    <col min="14328" max="14328" width="10.7109375" customWidth="1"/>
    <col min="14329" max="14329" width="9.28515625" customWidth="1"/>
    <col min="14331" max="14331" width="9.28515625" customWidth="1"/>
    <col min="14332" max="14332" width="11.140625" bestFit="1" customWidth="1"/>
    <col min="14334" max="14334" width="9.5703125" bestFit="1" customWidth="1"/>
    <col min="14337" max="14337" width="11.7109375" customWidth="1"/>
    <col min="14582" max="14582" width="11.28515625" customWidth="1"/>
    <col min="14583" max="14583" width="10.140625" bestFit="1" customWidth="1"/>
    <col min="14584" max="14584" width="10.7109375" customWidth="1"/>
    <col min="14585" max="14585" width="9.28515625" customWidth="1"/>
    <col min="14587" max="14587" width="9.28515625" customWidth="1"/>
    <col min="14588" max="14588" width="11.140625" bestFit="1" customWidth="1"/>
    <col min="14590" max="14590" width="9.5703125" bestFit="1" customWidth="1"/>
    <col min="14593" max="14593" width="11.7109375" customWidth="1"/>
    <col min="14838" max="14838" width="11.28515625" customWidth="1"/>
    <col min="14839" max="14839" width="10.140625" bestFit="1" customWidth="1"/>
    <col min="14840" max="14840" width="10.7109375" customWidth="1"/>
    <col min="14841" max="14841" width="9.28515625" customWidth="1"/>
    <col min="14843" max="14843" width="9.28515625" customWidth="1"/>
    <col min="14844" max="14844" width="11.140625" bestFit="1" customWidth="1"/>
    <col min="14846" max="14846" width="9.5703125" bestFit="1" customWidth="1"/>
    <col min="14849" max="14849" width="11.7109375" customWidth="1"/>
    <col min="15094" max="15094" width="11.28515625" customWidth="1"/>
    <col min="15095" max="15095" width="10.140625" bestFit="1" customWidth="1"/>
    <col min="15096" max="15096" width="10.7109375" customWidth="1"/>
    <col min="15097" max="15097" width="9.28515625" customWidth="1"/>
    <col min="15099" max="15099" width="9.28515625" customWidth="1"/>
    <col min="15100" max="15100" width="11.140625" bestFit="1" customWidth="1"/>
    <col min="15102" max="15102" width="9.5703125" bestFit="1" customWidth="1"/>
    <col min="15105" max="15105" width="11.7109375" customWidth="1"/>
    <col min="15350" max="15350" width="11.28515625" customWidth="1"/>
    <col min="15351" max="15351" width="10.140625" bestFit="1" customWidth="1"/>
    <col min="15352" max="15352" width="10.7109375" customWidth="1"/>
    <col min="15353" max="15353" width="9.28515625" customWidth="1"/>
    <col min="15355" max="15355" width="9.28515625" customWidth="1"/>
    <col min="15356" max="15356" width="11.140625" bestFit="1" customWidth="1"/>
    <col min="15358" max="15358" width="9.5703125" bestFit="1" customWidth="1"/>
    <col min="15361" max="15361" width="11.7109375" customWidth="1"/>
    <col min="15606" max="15606" width="11.28515625" customWidth="1"/>
    <col min="15607" max="15607" width="10.140625" bestFit="1" customWidth="1"/>
    <col min="15608" max="15608" width="10.7109375" customWidth="1"/>
    <col min="15609" max="15609" width="9.28515625" customWidth="1"/>
    <col min="15611" max="15611" width="9.28515625" customWidth="1"/>
    <col min="15612" max="15612" width="11.140625" bestFit="1" customWidth="1"/>
    <col min="15614" max="15614" width="9.5703125" bestFit="1" customWidth="1"/>
    <col min="15617" max="15617" width="11.7109375" customWidth="1"/>
    <col min="15862" max="15862" width="11.28515625" customWidth="1"/>
    <col min="15863" max="15863" width="10.140625" bestFit="1" customWidth="1"/>
    <col min="15864" max="15864" width="10.7109375" customWidth="1"/>
    <col min="15865" max="15865" width="9.28515625" customWidth="1"/>
    <col min="15867" max="15867" width="9.28515625" customWidth="1"/>
    <col min="15868" max="15868" width="11.140625" bestFit="1" customWidth="1"/>
    <col min="15870" max="15870" width="9.5703125" bestFit="1" customWidth="1"/>
    <col min="15873" max="15873" width="11.7109375" customWidth="1"/>
    <col min="16118" max="16118" width="11.28515625" customWidth="1"/>
    <col min="16119" max="16119" width="10.140625" bestFit="1" customWidth="1"/>
    <col min="16120" max="16120" width="10.7109375" customWidth="1"/>
    <col min="16121" max="16121" width="9.28515625" customWidth="1"/>
    <col min="16123" max="16123" width="9.28515625" customWidth="1"/>
    <col min="16124" max="16124" width="11.140625" bestFit="1" customWidth="1"/>
    <col min="16126" max="16126" width="9.5703125" bestFit="1" customWidth="1"/>
    <col min="16129" max="16129" width="11.7109375" customWidth="1"/>
  </cols>
  <sheetData>
    <row r="1" spans="8:40" x14ac:dyDescent="0.25">
      <c r="H1" s="99" t="b">
        <v>1</v>
      </c>
      <c r="I1" t="s">
        <v>13</v>
      </c>
      <c r="J1" s="88">
        <v>41437</v>
      </c>
      <c r="K1" t="s">
        <v>34</v>
      </c>
      <c r="L1" s="87">
        <f>IF(H1,_xll.qlTimeNow2(3),"")</f>
        <v>42376.904233321759</v>
      </c>
      <c r="M1" t="b">
        <v>1</v>
      </c>
      <c r="O1">
        <f ca="1">RANDBETWEEN(0,4)</f>
        <v>3</v>
      </c>
    </row>
    <row r="2" spans="8:40" ht="15.75" thickBot="1" x14ac:dyDescent="0.3">
      <c r="U2" s="5"/>
      <c r="AB2" s="103" t="s">
        <v>33</v>
      </c>
      <c r="AC2" s="103"/>
      <c r="AD2" s="103"/>
      <c r="AE2" s="103"/>
    </row>
    <row r="3" spans="8:40" ht="15.75" thickBot="1" x14ac:dyDescent="0.3">
      <c r="I3" s="22" t="s">
        <v>21</v>
      </c>
      <c r="J3" s="23" t="s">
        <v>18</v>
      </c>
      <c r="K3" s="24" t="s">
        <v>19</v>
      </c>
      <c r="L3" s="24" t="s">
        <v>8</v>
      </c>
      <c r="M3" s="25" t="s">
        <v>20</v>
      </c>
      <c r="N3" s="104" t="s">
        <v>30</v>
      </c>
      <c r="O3" s="105"/>
      <c r="P3" s="105"/>
      <c r="Q3" s="105"/>
      <c r="R3" s="105"/>
      <c r="S3" s="105"/>
      <c r="T3" s="106"/>
      <c r="U3" s="104" t="s">
        <v>31</v>
      </c>
      <c r="V3" s="105"/>
      <c r="W3" s="105"/>
      <c r="X3" s="105"/>
      <c r="Y3" s="105"/>
      <c r="Z3" s="105"/>
      <c r="AA3" s="106"/>
      <c r="AB3" s="41" t="s">
        <v>3</v>
      </c>
      <c r="AC3" s="42" t="s">
        <v>4</v>
      </c>
      <c r="AD3" s="42" t="s">
        <v>32</v>
      </c>
      <c r="AE3" s="43" t="s">
        <v>1</v>
      </c>
      <c r="AF3" s="107" t="s">
        <v>14</v>
      </c>
      <c r="AG3" s="108"/>
      <c r="AH3" s="108"/>
      <c r="AI3" s="108"/>
      <c r="AJ3" s="108"/>
      <c r="AK3" s="108"/>
      <c r="AL3" s="108"/>
      <c r="AM3" s="108"/>
      <c r="AN3" s="109"/>
    </row>
    <row r="4" spans="8:40" x14ac:dyDescent="0.25">
      <c r="H4" s="44"/>
      <c r="I4" s="1" t="s">
        <v>22</v>
      </c>
      <c r="J4" s="26">
        <v>41529</v>
      </c>
      <c r="K4" s="27">
        <f>_xll.qlTimeYearFraction($J$1,J4,"ACTUAL365")</f>
        <v>0.25205479452054796</v>
      </c>
      <c r="L4" s="28">
        <v>2.5000000000000001E-2</v>
      </c>
      <c r="M4" s="4">
        <v>0.34100000000000003</v>
      </c>
      <c r="N4" s="3">
        <v>0.01</v>
      </c>
      <c r="O4" s="28">
        <v>1.4999999999999999E-2</v>
      </c>
      <c r="P4" s="28">
        <v>0.02</v>
      </c>
      <c r="Q4" s="28">
        <v>2.5000000000000001E-2</v>
      </c>
      <c r="R4" s="28">
        <v>0.03</v>
      </c>
      <c r="S4" s="28">
        <v>3.5000000000000003E-2</v>
      </c>
      <c r="T4" s="4">
        <v>0.04</v>
      </c>
      <c r="U4" s="3">
        <f t="array" aca="1" ref="U4:AA11" ca="1">OFFSET(Data!A1,8*O1,0,8,7)</f>
        <v>0.58752000000000004</v>
      </c>
      <c r="V4" s="28">
        <f ca="1"/>
        <v>0.47532000000000002</v>
      </c>
      <c r="W4" s="28">
        <f ca="1"/>
        <v>0.36618000000000001</v>
      </c>
      <c r="X4" s="28">
        <f ca="1"/>
        <v>0.34782000000000002</v>
      </c>
      <c r="Y4" s="28">
        <f ca="1"/>
        <v>0.41819999999999996</v>
      </c>
      <c r="Z4" s="28">
        <f ca="1"/>
        <v>0.46715999999999996</v>
      </c>
      <c r="AA4" s="4">
        <f ca="1"/>
        <v>0.51305999999999996</v>
      </c>
      <c r="AB4" s="36">
        <v>0.5</v>
      </c>
      <c r="AC4" s="35">
        <v>0.5</v>
      </c>
      <c r="AD4" s="35">
        <v>0.2</v>
      </c>
      <c r="AE4" s="37">
        <v>0</v>
      </c>
      <c r="AF4" s="84" t="str">
        <f ca="1">IF(M1,_xll.qlModelSABR("SWPT"&amp;I4,L4,K4,N4:T4,U4:AA4,AB4:AE4,$AB$12:$AE$12),"")</f>
        <v>MODEL@SWPT3Mx10Y#21:42:06</v>
      </c>
      <c r="AG4" s="2" t="str">
        <f t="array" aca="1" ref="AG4:AH9" ca="1">_xll.qlModelGetSABRCalibratedParameters(AF4)</f>
        <v>alpha:</v>
      </c>
      <c r="AH4" s="46">
        <f ca="1"/>
        <v>5.3373305889413664E-2</v>
      </c>
      <c r="AI4" s="2" t="str">
        <f t="array" aca="1" ref="AI4:AJ9" ca="1">_xll.qlModelGetSABRCalibratedParameters(AF5)</f>
        <v>alpha:</v>
      </c>
      <c r="AJ4" s="46">
        <f ca="1"/>
        <v>5.8192770088695937E-2</v>
      </c>
      <c r="AK4" s="2" t="str">
        <f t="array" aca="1" ref="AK4:AL9" ca="1">_xll.qlModelGetSABRCalibratedParameters(AF6)</f>
        <v>alpha:</v>
      </c>
      <c r="AL4" s="46">
        <f ca="1"/>
        <v>6.1034109783441266E-2</v>
      </c>
      <c r="AM4" s="2" t="str">
        <f t="array" aca="1" ref="AM4:AN9" ca="1">_xll.qlModelGetSABRCalibratedParameters(AF7)</f>
        <v>alpha:</v>
      </c>
      <c r="AN4" s="46">
        <f ca="1"/>
        <v>6.099571194176303E-2</v>
      </c>
    </row>
    <row r="5" spans="8:40" x14ac:dyDescent="0.25">
      <c r="H5" s="45"/>
      <c r="I5" s="1" t="s">
        <v>23</v>
      </c>
      <c r="J5" s="26">
        <v>41802</v>
      </c>
      <c r="K5" s="27">
        <f>_xll.qlTimeYearFraction($J$1,J5,"ACTUAL365")</f>
        <v>1</v>
      </c>
      <c r="L5" s="28">
        <v>2.75E-2</v>
      </c>
      <c r="M5" s="4">
        <v>0.36499999999999999</v>
      </c>
      <c r="N5" s="3">
        <v>1.2500000000000001E-2</v>
      </c>
      <c r="O5" s="28">
        <v>1.7500000000000002E-2</v>
      </c>
      <c r="P5" s="28">
        <v>2.2499999999999999E-2</v>
      </c>
      <c r="Q5" s="28">
        <v>2.75E-2</v>
      </c>
      <c r="R5" s="28">
        <v>3.2500000000000001E-2</v>
      </c>
      <c r="S5" s="28">
        <v>3.7499999999999999E-2</v>
      </c>
      <c r="T5" s="4">
        <v>4.2500000000000003E-2</v>
      </c>
      <c r="U5" s="3">
        <f ca="1"/>
        <v>0.54774</v>
      </c>
      <c r="V5" s="28">
        <f ca="1"/>
        <v>0.47837999999999997</v>
      </c>
      <c r="W5" s="28">
        <f ca="1"/>
        <v>0.40085999999999999</v>
      </c>
      <c r="X5" s="28">
        <f ca="1"/>
        <v>0.37230000000000002</v>
      </c>
      <c r="Y5" s="28">
        <f ca="1"/>
        <v>0.42125999999999997</v>
      </c>
      <c r="Z5" s="28">
        <f ca="1"/>
        <v>0.44268000000000002</v>
      </c>
      <c r="AA5" s="4">
        <f ca="1"/>
        <v>0.47837999999999997</v>
      </c>
      <c r="AB5" s="36">
        <v>0.5</v>
      </c>
      <c r="AC5" s="35">
        <v>0.5</v>
      </c>
      <c r="AD5" s="35">
        <v>0.2</v>
      </c>
      <c r="AE5" s="37">
        <v>0</v>
      </c>
      <c r="AF5" s="85" t="str">
        <f ca="1">IF(M1,_xll.qlModelSABR("SWPT"&amp;I5,L5,K5,N5:T5,U5:AA5,AB5:AE5,$AB$12:$AE$12),"")</f>
        <v>MODEL@SWPT1Yx10Y#21:42:06</v>
      </c>
      <c r="AG5" s="3" t="str">
        <f ca="1"/>
        <v>beta:</v>
      </c>
      <c r="AH5" s="47">
        <f ca="1"/>
        <v>0.50000000000000011</v>
      </c>
      <c r="AI5" s="3" t="str">
        <f ca="1"/>
        <v>beta:</v>
      </c>
      <c r="AJ5" s="47">
        <f ca="1"/>
        <v>0.50000000000000011</v>
      </c>
      <c r="AK5" s="3" t="str">
        <f ca="1"/>
        <v>beta:</v>
      </c>
      <c r="AL5" s="47">
        <f ca="1"/>
        <v>0.50000000000000011</v>
      </c>
      <c r="AM5" s="3" t="str">
        <f ca="1"/>
        <v>beta:</v>
      </c>
      <c r="AN5" s="47">
        <f ca="1"/>
        <v>0.50000000000000011</v>
      </c>
    </row>
    <row r="6" spans="8:40" x14ac:dyDescent="0.25">
      <c r="H6" s="45"/>
      <c r="I6" s="1" t="s">
        <v>24</v>
      </c>
      <c r="J6" s="26">
        <v>42167</v>
      </c>
      <c r="K6" s="27">
        <f>_xll.qlTimeYearFraction($J$1,J6,"ACTUAL365")</f>
        <v>2</v>
      </c>
      <c r="L6" s="28">
        <v>3.1800000000000002E-2</v>
      </c>
      <c r="M6" s="4">
        <v>0.378</v>
      </c>
      <c r="N6" s="3">
        <v>1.6799999999999999E-2</v>
      </c>
      <c r="O6" s="28">
        <v>2.18E-2</v>
      </c>
      <c r="P6" s="28">
        <v>2.6800000000000001E-2</v>
      </c>
      <c r="Q6" s="28">
        <v>3.1800000000000002E-2</v>
      </c>
      <c r="R6" s="28">
        <v>3.6799999999999999E-2</v>
      </c>
      <c r="S6" s="28">
        <v>4.1799999999999997E-2</v>
      </c>
      <c r="T6" s="4">
        <v>4.6799999999999994E-2</v>
      </c>
      <c r="U6" s="3">
        <f ca="1"/>
        <v>0.50387999999999999</v>
      </c>
      <c r="V6" s="28">
        <f ca="1"/>
        <v>0.45695999999999998</v>
      </c>
      <c r="W6" s="28">
        <f ca="1"/>
        <v>0.40392</v>
      </c>
      <c r="X6" s="28">
        <f ca="1"/>
        <v>0.38555999999999996</v>
      </c>
      <c r="Y6" s="28">
        <f ca="1"/>
        <v>0.40290000000000004</v>
      </c>
      <c r="Z6" s="28">
        <f ca="1"/>
        <v>0.42737999999999998</v>
      </c>
      <c r="AA6" s="4">
        <f ca="1"/>
        <v>0.44880000000000003</v>
      </c>
      <c r="AB6" s="36">
        <v>0.5</v>
      </c>
      <c r="AC6" s="35">
        <v>0.5</v>
      </c>
      <c r="AD6" s="35">
        <v>0.2</v>
      </c>
      <c r="AE6" s="37">
        <v>0</v>
      </c>
      <c r="AF6" s="85" t="str">
        <f ca="1">IF(M1,_xll.qlModelSABR("SWPT"&amp;I6,L6,K6,N6:T6,U6:AA6,AB6:AE6,$AB$12:$AE$12),"")</f>
        <v>MODEL@SWPT2Yx10Y#21:42:06</v>
      </c>
      <c r="AG6" s="3" t="str">
        <f ca="1"/>
        <v>nu:</v>
      </c>
      <c r="AH6" s="47">
        <f ca="1"/>
        <v>1.5078271105603511</v>
      </c>
      <c r="AI6" s="3" t="str">
        <f ca="1"/>
        <v>nu:</v>
      </c>
      <c r="AJ6" s="47">
        <f ca="1"/>
        <v>1.0905843807956357</v>
      </c>
      <c r="AK6" s="3" t="str">
        <f ca="1"/>
        <v>nu:</v>
      </c>
      <c r="AL6" s="47">
        <f ca="1"/>
        <v>0.91229867865228798</v>
      </c>
      <c r="AM6" s="3" t="str">
        <f ca="1"/>
        <v>nu:</v>
      </c>
      <c r="AN6" s="47">
        <f ca="1"/>
        <v>0.77026882307943978</v>
      </c>
    </row>
    <row r="7" spans="8:40" x14ac:dyDescent="0.25">
      <c r="H7" s="45"/>
      <c r="I7" s="1" t="s">
        <v>25</v>
      </c>
      <c r="J7" s="26">
        <v>42533</v>
      </c>
      <c r="K7" s="27">
        <f>_xll.qlTimeYearFraction($J$1,J7,"ACTUAL365")</f>
        <v>3.0027397260273974</v>
      </c>
      <c r="L7" s="28">
        <v>3.5000000000000003E-2</v>
      </c>
      <c r="M7" s="4">
        <v>0.36599999999999999</v>
      </c>
      <c r="N7" s="3">
        <v>0.02</v>
      </c>
      <c r="O7" s="28">
        <v>2.5000000000000001E-2</v>
      </c>
      <c r="P7" s="28">
        <v>0.03</v>
      </c>
      <c r="Q7" s="28">
        <v>3.5000000000000003E-2</v>
      </c>
      <c r="R7" s="28">
        <v>0.04</v>
      </c>
      <c r="S7" s="28">
        <v>4.4999999999999998E-2</v>
      </c>
      <c r="T7" s="4">
        <v>0.05</v>
      </c>
      <c r="U7" s="3">
        <f ca="1"/>
        <v>0.46512000000000003</v>
      </c>
      <c r="V7" s="28">
        <f ca="1"/>
        <v>0.42432000000000003</v>
      </c>
      <c r="W7" s="28">
        <f ca="1"/>
        <v>0.38658000000000003</v>
      </c>
      <c r="X7" s="28">
        <f ca="1"/>
        <v>0.37331999999999999</v>
      </c>
      <c r="Y7" s="28">
        <f ca="1"/>
        <v>0.38555999999999996</v>
      </c>
      <c r="Z7" s="28">
        <f ca="1"/>
        <v>0.39984000000000003</v>
      </c>
      <c r="AA7" s="4">
        <f ca="1"/>
        <v>0.40800000000000003</v>
      </c>
      <c r="AB7" s="36">
        <v>0.5</v>
      </c>
      <c r="AC7" s="35">
        <v>0.5</v>
      </c>
      <c r="AD7" s="35">
        <v>0.2</v>
      </c>
      <c r="AE7" s="37">
        <v>0</v>
      </c>
      <c r="AF7" s="85" t="str">
        <f ca="1">IF(M1,_xll.qlModelSABR("SWPT"&amp;I7,L7,K7,N7:T7,U7:AA7,AB7:AE7,$AB$12:$AE$12),"")</f>
        <v>MODEL@SWPT3Yx10Y#21:42:06</v>
      </c>
      <c r="AG7" s="3" t="str">
        <f ca="1"/>
        <v>rho:</v>
      </c>
      <c r="AH7" s="47">
        <f ca="1"/>
        <v>0.35987435549861418</v>
      </c>
      <c r="AI7" s="3" t="str">
        <f ca="1"/>
        <v>rho:</v>
      </c>
      <c r="AJ7" s="47">
        <f ca="1"/>
        <v>0.28259302846308382</v>
      </c>
      <c r="AK7" s="3" t="str">
        <f ca="1"/>
        <v>rho:</v>
      </c>
      <c r="AL7" s="47">
        <f ca="1"/>
        <v>0.23988710534304189</v>
      </c>
      <c r="AM7" s="3" t="str">
        <f ca="1"/>
        <v>rho:</v>
      </c>
      <c r="AN7" s="47">
        <f ca="1"/>
        <v>0.20861840798879969</v>
      </c>
    </row>
    <row r="8" spans="8:40" x14ac:dyDescent="0.25">
      <c r="H8" s="45"/>
      <c r="I8" s="1" t="s">
        <v>26</v>
      </c>
      <c r="J8" s="26">
        <v>42898</v>
      </c>
      <c r="K8" s="27">
        <f>_xll.qlTimeYearFraction($J$1,J8,"ACTUAL365")</f>
        <v>4.0027397260273974</v>
      </c>
      <c r="L8" s="28">
        <v>3.7600000000000001E-2</v>
      </c>
      <c r="M8" s="4">
        <v>0.35</v>
      </c>
      <c r="N8" s="3">
        <v>2.2599999999999999E-2</v>
      </c>
      <c r="O8" s="28">
        <v>2.76E-2</v>
      </c>
      <c r="P8" s="28">
        <v>3.2599999999999997E-2</v>
      </c>
      <c r="Q8" s="28">
        <v>3.7599999999999995E-2</v>
      </c>
      <c r="R8" s="28">
        <v>4.2599999999999999E-2</v>
      </c>
      <c r="S8" s="28">
        <v>4.7599999999999996E-2</v>
      </c>
      <c r="T8" s="4">
        <v>5.2600000000000001E-2</v>
      </c>
      <c r="U8" s="3">
        <f ca="1"/>
        <v>0.44982</v>
      </c>
      <c r="V8" s="28">
        <f ca="1"/>
        <v>0.40595999999999999</v>
      </c>
      <c r="W8" s="28">
        <f ca="1"/>
        <v>0.37944000000000006</v>
      </c>
      <c r="X8" s="28">
        <f ca="1"/>
        <v>0.35699999999999998</v>
      </c>
      <c r="Y8" s="28">
        <f ca="1"/>
        <v>0.36719999999999997</v>
      </c>
      <c r="Z8" s="28">
        <f ca="1"/>
        <v>0.37637999999999999</v>
      </c>
      <c r="AA8" s="4">
        <f ca="1"/>
        <v>0.38250000000000001</v>
      </c>
      <c r="AB8" s="36">
        <v>0.5</v>
      </c>
      <c r="AC8" s="35">
        <v>0.5</v>
      </c>
      <c r="AD8" s="35">
        <v>0.2</v>
      </c>
      <c r="AE8" s="37">
        <v>0</v>
      </c>
      <c r="AF8" s="85" t="str">
        <f ca="1">IF(M1,_xll.qlModelSABR("SWPT"&amp;I8,L8,K8,N8:T8,U8:AA8,AB8:AE8,$AB$12:$AE$12),"")</f>
        <v>MODEL@SWPT4Yx10Y#21:42:06</v>
      </c>
      <c r="AG8" s="3" t="str">
        <f ca="1"/>
        <v>rmsError:</v>
      </c>
      <c r="AH8" s="47">
        <f ca="1"/>
        <v>7.0507454246328963E-3</v>
      </c>
      <c r="AI8" s="3" t="str">
        <f ca="1"/>
        <v>rmsError:</v>
      </c>
      <c r="AJ8" s="47">
        <f ca="1"/>
        <v>1.2268463937348796E-2</v>
      </c>
      <c r="AK8" s="3" t="str">
        <f ca="1"/>
        <v>rmsError:</v>
      </c>
      <c r="AL8" s="47">
        <f ca="1"/>
        <v>7.6539950622052967E-3</v>
      </c>
      <c r="AM8" s="3" t="str">
        <f ca="1"/>
        <v>rmsError:</v>
      </c>
      <c r="AN8" s="47">
        <f ca="1"/>
        <v>4.5225190686741688E-3</v>
      </c>
    </row>
    <row r="9" spans="8:40" ht="15.75" thickBot="1" x14ac:dyDescent="0.3">
      <c r="H9" s="45"/>
      <c r="I9" s="1" t="s">
        <v>27</v>
      </c>
      <c r="J9" s="26">
        <v>43263</v>
      </c>
      <c r="K9" s="27">
        <f>_xll.qlTimeYearFraction($J$1,J9,"ACTUAL365")</f>
        <v>5.0027397260273974</v>
      </c>
      <c r="L9" s="28">
        <v>3.9100000000000003E-2</v>
      </c>
      <c r="M9" s="4">
        <v>0.31900000000000001</v>
      </c>
      <c r="N9" s="3">
        <v>2.41E-2</v>
      </c>
      <c r="O9" s="28">
        <v>2.9100000000000001E-2</v>
      </c>
      <c r="P9" s="28">
        <v>3.4099999999999998E-2</v>
      </c>
      <c r="Q9" s="28">
        <v>3.9100000000000003E-2</v>
      </c>
      <c r="R9" s="28">
        <v>4.41E-2</v>
      </c>
      <c r="S9" s="28">
        <v>4.9100000000000005E-2</v>
      </c>
      <c r="T9" s="4">
        <v>5.4100000000000002E-2</v>
      </c>
      <c r="U9" s="3">
        <f ca="1"/>
        <v>0.41922000000000004</v>
      </c>
      <c r="V9" s="28">
        <f ca="1"/>
        <v>0.38147999999999999</v>
      </c>
      <c r="W9" s="28">
        <f ca="1"/>
        <v>0.35394000000000003</v>
      </c>
      <c r="X9" s="28">
        <f ca="1"/>
        <v>0.32538</v>
      </c>
      <c r="Y9" s="28">
        <f ca="1"/>
        <v>0.33252000000000004</v>
      </c>
      <c r="Z9" s="28">
        <f ca="1"/>
        <v>0.33864</v>
      </c>
      <c r="AA9" s="4">
        <f ca="1"/>
        <v>0.34475999999999996</v>
      </c>
      <c r="AB9" s="36">
        <v>0.5</v>
      </c>
      <c r="AC9" s="35">
        <v>0.5</v>
      </c>
      <c r="AD9" s="35">
        <v>0.2</v>
      </c>
      <c r="AE9" s="37">
        <v>0</v>
      </c>
      <c r="AF9" s="85" t="str">
        <f ca="1">IF(M1,_xll.qlModelSABR("SWPT"&amp;I9,L9,K9,N9:T9,U9:AA9,AB9:AE9,$AB$12:$AE$12),"")</f>
        <v>MODEL@SWPT5Yx10Y#21:42:06</v>
      </c>
      <c r="AG9" s="34" t="str">
        <f ca="1"/>
        <v>maxError:</v>
      </c>
      <c r="AH9" s="48">
        <f ca="1"/>
        <v>5.5819238979907704E-2</v>
      </c>
      <c r="AI9" s="34" t="str">
        <f ca="1"/>
        <v>maxError:</v>
      </c>
      <c r="AJ9" s="48">
        <f ca="1"/>
        <v>2.7389465224811338E-2</v>
      </c>
      <c r="AK9" s="34" t="str">
        <f ca="1"/>
        <v>maxError:</v>
      </c>
      <c r="AL9" s="48">
        <f ca="1"/>
        <v>1.4526315660039035E-2</v>
      </c>
      <c r="AM9" s="34" t="str">
        <f ca="1"/>
        <v>maxError:</v>
      </c>
      <c r="AN9" s="48">
        <f ca="1"/>
        <v>7.5589407445478818E-3</v>
      </c>
    </row>
    <row r="10" spans="8:40" x14ac:dyDescent="0.25">
      <c r="H10" s="45"/>
      <c r="I10" s="1" t="s">
        <v>28</v>
      </c>
      <c r="J10" s="26">
        <v>43994</v>
      </c>
      <c r="K10" s="27">
        <f>_xll.qlTimeYearFraction($J$1,J10,"ACTUAL365")</f>
        <v>7.0054794520547947</v>
      </c>
      <c r="L10" s="28">
        <v>4.0800000000000003E-2</v>
      </c>
      <c r="M10" s="4">
        <v>0.28100000000000003</v>
      </c>
      <c r="N10" s="3">
        <v>2.58E-2</v>
      </c>
      <c r="O10" s="28">
        <v>3.0800000000000001E-2</v>
      </c>
      <c r="P10" s="28">
        <v>3.5799999999999998E-2</v>
      </c>
      <c r="Q10" s="28">
        <v>4.0800000000000003E-2</v>
      </c>
      <c r="R10" s="28">
        <v>4.58E-2</v>
      </c>
      <c r="S10" s="28">
        <v>5.0799999999999998E-2</v>
      </c>
      <c r="T10" s="4">
        <v>5.5800000000000002E-2</v>
      </c>
      <c r="U10" s="3">
        <f ca="1"/>
        <v>0.35904000000000003</v>
      </c>
      <c r="V10" s="28">
        <f ca="1"/>
        <v>0.34067999999999998</v>
      </c>
      <c r="W10" s="28">
        <f ca="1"/>
        <v>0.31109999999999999</v>
      </c>
      <c r="X10" s="28">
        <f ca="1"/>
        <v>0.28662000000000004</v>
      </c>
      <c r="Y10" s="28">
        <f ca="1"/>
        <v>0.29580000000000001</v>
      </c>
      <c r="Z10" s="28">
        <f ca="1"/>
        <v>0.30192000000000002</v>
      </c>
      <c r="AA10" s="4">
        <f ca="1"/>
        <v>0.30803999999999998</v>
      </c>
      <c r="AB10" s="36">
        <v>0.5</v>
      </c>
      <c r="AC10" s="35">
        <v>0.5</v>
      </c>
      <c r="AD10" s="35">
        <v>0.2</v>
      </c>
      <c r="AE10" s="37">
        <v>0</v>
      </c>
      <c r="AF10" s="85" t="str">
        <f ca="1">IF(M1,_xll.qlModelSABR("SWPT"&amp;I10,L10,K10,N10:T10,U10:AA10,AB10:AE10,$AB$12:$AE$12),"")</f>
        <v>MODEL@SWPT7Yx10Y#21:42:06</v>
      </c>
      <c r="AG10" s="2" t="str">
        <f t="array" aca="1" ref="AG10:AH15" ca="1">_xll.qlModelGetSABRCalibratedParameters(AF8)</f>
        <v>alpha:</v>
      </c>
      <c r="AH10" s="46">
        <f ca="1"/>
        <v>5.9346995153145329E-2</v>
      </c>
      <c r="AI10" s="2" t="str">
        <f t="array" aca="1" ref="AI10:AJ15" ca="1">_xll.qlModelGetSABRCalibratedParameters(AF9)</f>
        <v>alpha:</v>
      </c>
      <c r="AJ10" s="46">
        <f ca="1"/>
        <v>5.4867320939815757E-2</v>
      </c>
      <c r="AK10" s="2" t="str">
        <f t="array" aca="1" ref="AK10:AL15" ca="1">_xll.qlModelGetSABRCalibratedParameters(AF10)</f>
        <v>alpha:</v>
      </c>
      <c r="AL10" s="46">
        <f ca="1"/>
        <v>4.9014069470341357E-2</v>
      </c>
      <c r="AM10" s="2" t="str">
        <f t="array" aca="1" ref="AM10:AN15" ca="1">_xll.qlModelGetSABRCalibratedParameters(AF11)</f>
        <v>alpha:</v>
      </c>
      <c r="AN10" s="46">
        <f ca="1"/>
        <v>4.7318933112983068E-2</v>
      </c>
    </row>
    <row r="11" spans="8:40" ht="15.75" thickBot="1" x14ac:dyDescent="0.3">
      <c r="H11" s="45"/>
      <c r="I11" s="29" t="s">
        <v>29</v>
      </c>
      <c r="J11" s="30">
        <v>45089</v>
      </c>
      <c r="K11" s="31">
        <f>_xll.qlTimeYearFraction($J$1,J11,"ACTUAL365")</f>
        <v>10.005479452054795</v>
      </c>
      <c r="L11" s="32">
        <v>4.1200000000000001E-2</v>
      </c>
      <c r="M11" s="33">
        <v>0.26600000000000001</v>
      </c>
      <c r="N11" s="34">
        <v>2.6200000000000001E-2</v>
      </c>
      <c r="O11" s="32">
        <v>3.1200000000000002E-2</v>
      </c>
      <c r="P11" s="32">
        <v>3.6200000000000003E-2</v>
      </c>
      <c r="Q11" s="32">
        <v>4.1200000000000001E-2</v>
      </c>
      <c r="R11" s="32">
        <v>4.6199999999999998E-2</v>
      </c>
      <c r="S11" s="32">
        <v>5.1200000000000002E-2</v>
      </c>
      <c r="T11" s="33">
        <v>5.62E-2</v>
      </c>
      <c r="U11" s="34">
        <f ca="1"/>
        <v>0.32640000000000002</v>
      </c>
      <c r="V11" s="32">
        <f ca="1"/>
        <v>0.31619999999999998</v>
      </c>
      <c r="W11" s="32">
        <f ca="1"/>
        <v>0.29477999999999999</v>
      </c>
      <c r="X11" s="32">
        <f ca="1"/>
        <v>0.27132000000000001</v>
      </c>
      <c r="Y11" s="32">
        <f ca="1"/>
        <v>0.26519999999999999</v>
      </c>
      <c r="Z11" s="32">
        <f ca="1"/>
        <v>0.26826</v>
      </c>
      <c r="AA11" s="33">
        <f ca="1"/>
        <v>0.27846000000000004</v>
      </c>
      <c r="AB11" s="38">
        <v>0.5</v>
      </c>
      <c r="AC11" s="39">
        <v>0.5</v>
      </c>
      <c r="AD11" s="39">
        <v>0.2</v>
      </c>
      <c r="AE11" s="40">
        <v>0</v>
      </c>
      <c r="AF11" s="86" t="str">
        <f ca="1">IF(M1,_xll.qlModelSABR("SWPT"&amp;I11,L11,K11,N11:T11,U11:AA11,AB11:AE11,$AB$12:$AE$12),"")</f>
        <v>MODEL@SWPT10Yx10Y#21:42:06</v>
      </c>
      <c r="AG11" s="3" t="str">
        <f ca="1"/>
        <v>beta:</v>
      </c>
      <c r="AH11" s="47">
        <f ca="1"/>
        <v>0.50000000000000011</v>
      </c>
      <c r="AI11" s="3" t="str">
        <f ca="1"/>
        <v>beta:</v>
      </c>
      <c r="AJ11" s="47">
        <f ca="1"/>
        <v>0.50000000000000011</v>
      </c>
      <c r="AK11" s="3" t="str">
        <f ca="1"/>
        <v>beta:</v>
      </c>
      <c r="AL11" s="47">
        <f ca="1"/>
        <v>0.50000000000000011</v>
      </c>
      <c r="AM11" s="3" t="str">
        <f ca="1"/>
        <v>beta:</v>
      </c>
      <c r="AN11" s="47">
        <f ca="1"/>
        <v>0.50000000000000011</v>
      </c>
    </row>
    <row r="12" spans="8:40" ht="15.75" thickBot="1" x14ac:dyDescent="0.3">
      <c r="AB12" t="b">
        <v>0</v>
      </c>
      <c r="AC12" t="b">
        <v>1</v>
      </c>
      <c r="AD12" t="b">
        <v>0</v>
      </c>
      <c r="AE12" t="b">
        <v>0</v>
      </c>
      <c r="AG12" s="3" t="str">
        <f ca="1"/>
        <v>nu:</v>
      </c>
      <c r="AH12" s="47">
        <f ca="1"/>
        <v>0.72530428550767556</v>
      </c>
      <c r="AI12" s="3" t="str">
        <f ca="1"/>
        <v>nu:</v>
      </c>
      <c r="AJ12" s="47">
        <f ca="1"/>
        <v>0.68092307397662566</v>
      </c>
      <c r="AK12" s="3" t="str">
        <f ca="1"/>
        <v>nu:</v>
      </c>
      <c r="AL12" s="47">
        <f ca="1"/>
        <v>0.5975589445087971</v>
      </c>
      <c r="AM12" s="3" t="str">
        <f ca="1"/>
        <v>nu:</v>
      </c>
      <c r="AN12" s="47">
        <f ca="1"/>
        <v>0.46024418396979683</v>
      </c>
    </row>
    <row r="13" spans="8:40" ht="15.75" thickBot="1" x14ac:dyDescent="0.3">
      <c r="I13" s="22" t="s">
        <v>17</v>
      </c>
      <c r="J13" s="23" t="s">
        <v>18</v>
      </c>
      <c r="K13" s="24" t="s">
        <v>19</v>
      </c>
      <c r="L13" s="24" t="s">
        <v>8</v>
      </c>
      <c r="M13" s="25" t="s">
        <v>20</v>
      </c>
      <c r="N13" s="104" t="s">
        <v>30</v>
      </c>
      <c r="O13" s="105"/>
      <c r="P13" s="105"/>
      <c r="Q13" s="105"/>
      <c r="R13" s="105"/>
      <c r="S13" s="105"/>
      <c r="T13" s="106"/>
      <c r="U13" s="104" t="s">
        <v>31</v>
      </c>
      <c r="V13" s="105"/>
      <c r="W13" s="105"/>
      <c r="X13" s="105"/>
      <c r="Y13" s="105"/>
      <c r="Z13" s="105"/>
      <c r="AA13" s="106"/>
      <c r="AB13" s="41" t="s">
        <v>3</v>
      </c>
      <c r="AC13" s="42" t="s">
        <v>4</v>
      </c>
      <c r="AD13" s="42" t="s">
        <v>32</v>
      </c>
      <c r="AE13" s="43" t="s">
        <v>1</v>
      </c>
      <c r="AG13" s="3" t="str">
        <f ca="1"/>
        <v>rho:</v>
      </c>
      <c r="AH13" s="47">
        <f ca="1"/>
        <v>0.13883719186101554</v>
      </c>
      <c r="AI13" s="3" t="str">
        <f ca="1"/>
        <v>rho:</v>
      </c>
      <c r="AJ13" s="47">
        <f ca="1"/>
        <v>5.6236330171423959E-2</v>
      </c>
      <c r="AK13" s="3" t="str">
        <f ca="1"/>
        <v>rho:</v>
      </c>
      <c r="AL13" s="47">
        <f ca="1"/>
        <v>8.1321200004194669E-2</v>
      </c>
      <c r="AM13" s="3" t="str">
        <f ca="1"/>
        <v>rho:</v>
      </c>
      <c r="AN13" s="47">
        <f ca="1"/>
        <v>1.6546664566254341E-2</v>
      </c>
    </row>
    <row r="14" spans="8:40" x14ac:dyDescent="0.25">
      <c r="I14" s="1" t="s">
        <v>22</v>
      </c>
      <c r="J14" s="26">
        <v>41529</v>
      </c>
      <c r="K14" s="27">
        <f>_xll.qlTimeYearFraction($J$1,J14,"ACTUAL365")</f>
        <v>0.25205479452054796</v>
      </c>
      <c r="L14" s="28">
        <v>2.5000000000000001E-2</v>
      </c>
      <c r="M14" s="4">
        <v>0.34100000000000003</v>
      </c>
      <c r="N14" s="3">
        <v>0.01</v>
      </c>
      <c r="O14" s="28">
        <v>1.4999999999999999E-2</v>
      </c>
      <c r="P14" s="28">
        <v>0.02</v>
      </c>
      <c r="Q14" s="28">
        <v>2.5000000000000001E-2</v>
      </c>
      <c r="R14" s="28">
        <v>0.03</v>
      </c>
      <c r="S14" s="28">
        <v>3.5000000000000003E-2</v>
      </c>
      <c r="T14" s="4">
        <v>0.04</v>
      </c>
      <c r="U14" s="55">
        <f ca="1">_xll.qlModelGetSABRInterpolatedValue($AF4,N14)</f>
        <v>0.64333923897990775</v>
      </c>
      <c r="V14" s="56">
        <f ca="1">_xll.qlModelGetSABRInterpolatedValue($AF4,O14)</f>
        <v>0.46936707319022564</v>
      </c>
      <c r="W14" s="56">
        <f ca="1">_xll.qlModelGetSABRInterpolatedValue($AF4,P14)</f>
        <v>0.36354312341547018</v>
      </c>
      <c r="X14" s="56">
        <f ca="1">_xll.qlModelGetSABRInterpolatedValue($AF4,Q14)</f>
        <v>0.35260017183746772</v>
      </c>
      <c r="Y14" s="56">
        <f ca="1">_xll.qlModelGetSABRInterpolatedValue($AF4,R14)</f>
        <v>0.4092193112976904</v>
      </c>
      <c r="Z14" s="56">
        <f ca="1">_xll.qlModelGetSABRInterpolatedValue($AF4,S14)</f>
        <v>0.46946258891011144</v>
      </c>
      <c r="AA14" s="47">
        <f ca="1">_xll.qlModelGetSABRInterpolatedValue($AF4,T14)</f>
        <v>0.52161439848699587</v>
      </c>
      <c r="AB14" s="49">
        <f ca="1">AH4</f>
        <v>5.3373305889413664E-2</v>
      </c>
      <c r="AC14" s="50">
        <f ca="1">AH5</f>
        <v>0.50000000000000011</v>
      </c>
      <c r="AD14" s="50">
        <f ca="1">AH6</f>
        <v>1.5078271105603511</v>
      </c>
      <c r="AE14" s="51">
        <f ca="1">AH7</f>
        <v>0.35987435549861418</v>
      </c>
      <c r="AG14" s="3" t="str">
        <f ca="1"/>
        <v>rmsError:</v>
      </c>
      <c r="AH14" s="47">
        <f ca="1"/>
        <v>3.9829906431888282E-3</v>
      </c>
      <c r="AI14" s="3" t="str">
        <f ca="1"/>
        <v>rmsError:</v>
      </c>
      <c r="AJ14" s="47">
        <f ca="1"/>
        <v>4.7824029965216567E-3</v>
      </c>
      <c r="AK14" s="3" t="str">
        <f ca="1"/>
        <v>rmsError:</v>
      </c>
      <c r="AL14" s="47">
        <f ca="1"/>
        <v>6.4910619034591853E-3</v>
      </c>
      <c r="AM14" s="3" t="str">
        <f ca="1"/>
        <v>rmsError:</v>
      </c>
      <c r="AN14" s="47">
        <f ca="1"/>
        <v>6.9394948985718498E-3</v>
      </c>
    </row>
    <row r="15" spans="8:40" ht="15.75" thickBot="1" x14ac:dyDescent="0.3">
      <c r="I15" s="1" t="s">
        <v>23</v>
      </c>
      <c r="J15" s="26">
        <v>41802</v>
      </c>
      <c r="K15" s="27">
        <f>_xll.qlTimeYearFraction($J$1,J15,"ACTUAL365")</f>
        <v>1</v>
      </c>
      <c r="L15" s="28">
        <v>2.75E-2</v>
      </c>
      <c r="M15" s="4">
        <v>0.36499999999999999</v>
      </c>
      <c r="N15" s="3">
        <v>1.2500000000000001E-2</v>
      </c>
      <c r="O15" s="28">
        <v>1.7500000000000002E-2</v>
      </c>
      <c r="P15" s="28">
        <v>2.2499999999999999E-2</v>
      </c>
      <c r="Q15" s="28">
        <v>2.75E-2</v>
      </c>
      <c r="R15" s="28">
        <v>3.2500000000000001E-2</v>
      </c>
      <c r="S15" s="28">
        <v>3.7499999999999999E-2</v>
      </c>
      <c r="T15" s="4">
        <v>4.2500000000000003E-2</v>
      </c>
      <c r="U15" s="55">
        <f ca="1">_xll.qlModelGetSABRInterpolatedValue($AF5,N15)</f>
        <v>0.57512946522481134</v>
      </c>
      <c r="V15" s="56">
        <f ca="1">_xll.qlModelGetSABRInterpolatedValue($AF5,O15)</f>
        <v>0.45970502639893596</v>
      </c>
      <c r="W15" s="56">
        <f ca="1">_xll.qlModelGetSABRInterpolatedValue($AF5,P15)</f>
        <v>0.39626915344090219</v>
      </c>
      <c r="X15" s="56">
        <f ca="1">_xll.qlModelGetSABRInterpolatedValue($AF5,Q15)</f>
        <v>0.38672414115746978</v>
      </c>
      <c r="Y15" s="56">
        <f ca="1">_xll.qlModelGetSABRInterpolatedValue($AF5,R15)</f>
        <v>0.41146919749149879</v>
      </c>
      <c r="Z15" s="56">
        <f ca="1">_xll.qlModelGetSABRInterpolatedValue($AF5,S15)</f>
        <v>0.44491735694010731</v>
      </c>
      <c r="AA15" s="47">
        <f ca="1">_xll.qlModelGetSABRInterpolatedValue($AF5,T15)</f>
        <v>0.47742015413916949</v>
      </c>
      <c r="AB15" s="49">
        <f ca="1">AJ4</f>
        <v>5.8192770088695937E-2</v>
      </c>
      <c r="AC15" s="50">
        <f ca="1">AJ5</f>
        <v>0.50000000000000011</v>
      </c>
      <c r="AD15" s="50">
        <f ca="1">AJ6</f>
        <v>1.0905843807956357</v>
      </c>
      <c r="AE15" s="51">
        <f ca="1">AJ7</f>
        <v>0.28259302846308382</v>
      </c>
      <c r="AG15" s="34" t="str">
        <f ca="1"/>
        <v>maxError:</v>
      </c>
      <c r="AH15" s="48">
        <f ca="1"/>
        <v>7.1266954476340572E-3</v>
      </c>
      <c r="AI15" s="34" t="str">
        <f ca="1"/>
        <v>maxError:</v>
      </c>
      <c r="AJ15" s="48">
        <f ca="1"/>
        <v>8.433491712720953E-3</v>
      </c>
      <c r="AK15" s="34" t="str">
        <f ca="1"/>
        <v>maxError:</v>
      </c>
      <c r="AL15" s="48">
        <f ca="1"/>
        <v>1.0176091255434006E-2</v>
      </c>
      <c r="AM15" s="34" t="str">
        <f ca="1"/>
        <v>maxError:</v>
      </c>
      <c r="AN15" s="48">
        <f ca="1"/>
        <v>9.2527067789766049E-3</v>
      </c>
    </row>
    <row r="16" spans="8:40" x14ac:dyDescent="0.25">
      <c r="I16" s="1" t="s">
        <v>24</v>
      </c>
      <c r="J16" s="26">
        <v>42167</v>
      </c>
      <c r="K16" s="27">
        <f>_xll.qlTimeYearFraction($J$1,J16,"ACTUAL365")</f>
        <v>2</v>
      </c>
      <c r="L16" s="28">
        <v>3.1800000000000002E-2</v>
      </c>
      <c r="M16" s="4">
        <v>0.378</v>
      </c>
      <c r="N16" s="3">
        <v>1.6799999999999999E-2</v>
      </c>
      <c r="O16" s="28">
        <v>2.18E-2</v>
      </c>
      <c r="P16" s="28">
        <v>2.6800000000000001E-2</v>
      </c>
      <c r="Q16" s="28">
        <v>3.1800000000000002E-2</v>
      </c>
      <c r="R16" s="28">
        <v>3.6799999999999999E-2</v>
      </c>
      <c r="S16" s="28">
        <v>4.1799999999999997E-2</v>
      </c>
      <c r="T16" s="4">
        <v>4.6799999999999994E-2</v>
      </c>
      <c r="U16" s="55">
        <f ca="1">_xll.qlModelGetSABRInterpolatedValue($AF6,N16)</f>
        <v>0.51764706950662542</v>
      </c>
      <c r="V16" s="56">
        <f ca="1">_xll.qlModelGetSABRInterpolatedValue($AF6,O16)</f>
        <v>0.44243368433996094</v>
      </c>
      <c r="W16" s="56">
        <f ca="1">_xll.qlModelGetSABRInterpolatedValue($AF6,P16)</f>
        <v>0.40172268040571385</v>
      </c>
      <c r="X16" s="56">
        <f ca="1">_xll.qlModelGetSABRInterpolatedValue($AF6,Q16)</f>
        <v>0.3928854619248508</v>
      </c>
      <c r="Y16" s="56">
        <f ca="1">_xll.qlModelGetSABRInterpolatedValue($AF6,R16)</f>
        <v>0.40482185787990566</v>
      </c>
      <c r="Z16" s="56">
        <f ca="1">_xll.qlModelGetSABRInterpolatedValue($AF6,S16)</f>
        <v>0.42501246843861434</v>
      </c>
      <c r="AA16" s="47">
        <f ca="1">_xll.qlModelGetSABRInterpolatedValue($AF6,T16)</f>
        <v>0.44689523951382937</v>
      </c>
      <c r="AB16" s="49">
        <f ca="1">AL4</f>
        <v>6.1034109783441266E-2</v>
      </c>
      <c r="AC16" s="50">
        <f ca="1">AL5</f>
        <v>0.50000000000000011</v>
      </c>
      <c r="AD16" s="50">
        <f ca="1">AL6</f>
        <v>0.91229867865228798</v>
      </c>
      <c r="AE16" s="51">
        <f ca="1">AL7</f>
        <v>0.23988710534304189</v>
      </c>
    </row>
    <row r="17" spans="9:36" x14ac:dyDescent="0.25">
      <c r="I17" s="1" t="s">
        <v>25</v>
      </c>
      <c r="J17" s="26">
        <v>42533</v>
      </c>
      <c r="K17" s="27">
        <f>_xll.qlTimeYearFraction($J$1,J17,"ACTUAL365")</f>
        <v>3.0027397260273974</v>
      </c>
      <c r="L17" s="28">
        <v>3.5000000000000003E-2</v>
      </c>
      <c r="M17" s="4">
        <v>0.36599999999999999</v>
      </c>
      <c r="N17" s="3">
        <v>0.02</v>
      </c>
      <c r="O17" s="28">
        <v>2.5000000000000001E-2</v>
      </c>
      <c r="P17" s="28">
        <v>0.03</v>
      </c>
      <c r="Q17" s="28">
        <v>3.5000000000000003E-2</v>
      </c>
      <c r="R17" s="28">
        <v>0.04</v>
      </c>
      <c r="S17" s="28">
        <v>4.4999999999999998E-2</v>
      </c>
      <c r="T17" s="4">
        <v>0.05</v>
      </c>
      <c r="U17" s="55">
        <f ca="1">_xll.qlModelGetSABRInterpolatedValue($AF7,N17)</f>
        <v>0.46986859929547842</v>
      </c>
      <c r="V17" s="56">
        <f ca="1">_xll.qlModelGetSABRInterpolatedValue($AF7,O17)</f>
        <v>0.41676105925545215</v>
      </c>
      <c r="W17" s="56">
        <f ca="1">_xll.qlModelGetSABRInterpolatedValue($AF7,P17)</f>
        <v>0.38750415033363089</v>
      </c>
      <c r="X17" s="56">
        <f ca="1">_xll.qlModelGetSABRInterpolatedValue($AF7,Q17)</f>
        <v>0.37877583260714459</v>
      </c>
      <c r="Y17" s="56">
        <f ca="1">_xll.qlModelGetSABRInterpolatedValue($AF7,R17)</f>
        <v>0.38389647953398681</v>
      </c>
      <c r="Z17" s="56">
        <f ca="1">_xll.qlModelGetSABRInterpolatedValue($AF7,S17)</f>
        <v>0.39587583637697299</v>
      </c>
      <c r="AA17" s="47">
        <f ca="1">_xll.qlModelGetSABRInterpolatedValue($AF7,T17)</f>
        <v>0.41035039668446216</v>
      </c>
      <c r="AB17" s="49">
        <f ca="1">AN4</f>
        <v>6.099571194176303E-2</v>
      </c>
      <c r="AC17" s="50">
        <f ca="1">AN5</f>
        <v>0.50000000000000011</v>
      </c>
      <c r="AD17" s="50">
        <f ca="1">AN6</f>
        <v>0.77026882307943978</v>
      </c>
      <c r="AE17" s="51">
        <f ca="1">AN7</f>
        <v>0.20861840798879969</v>
      </c>
    </row>
    <row r="18" spans="9:36" x14ac:dyDescent="0.25">
      <c r="I18" s="1" t="s">
        <v>26</v>
      </c>
      <c r="J18" s="26">
        <v>42898</v>
      </c>
      <c r="K18" s="27">
        <f>_xll.qlTimeYearFraction($J$1,J18,"ACTUAL365")</f>
        <v>4.0027397260273974</v>
      </c>
      <c r="L18" s="28">
        <v>3.7600000000000001E-2</v>
      </c>
      <c r="M18" s="4">
        <v>0.35</v>
      </c>
      <c r="N18" s="3">
        <v>2.2599999999999999E-2</v>
      </c>
      <c r="O18" s="28">
        <v>2.76E-2</v>
      </c>
      <c r="P18" s="28">
        <v>3.2599999999999997E-2</v>
      </c>
      <c r="Q18" s="28">
        <v>3.7599999999999995E-2</v>
      </c>
      <c r="R18" s="28">
        <v>4.2599999999999999E-2</v>
      </c>
      <c r="S18" s="28">
        <v>4.7599999999999996E-2</v>
      </c>
      <c r="T18" s="4">
        <v>5.2600000000000001E-2</v>
      </c>
      <c r="U18" s="55">
        <f ca="1">_xll.qlModelGetSABRInterpolatedValue($AF8,N18)</f>
        <v>0.45169746824498552</v>
      </c>
      <c r="V18" s="56">
        <f ca="1">_xll.qlModelGetSABRInterpolatedValue($AF8,O18)</f>
        <v>0.40416186038586072</v>
      </c>
      <c r="W18" s="56">
        <f ca="1">_xll.qlModelGetSABRInterpolatedValue($AF8,P18)</f>
        <v>0.37567108884861877</v>
      </c>
      <c r="X18" s="56">
        <f ca="1">_xll.qlModelGetSABRInterpolatedValue($AF8,Q18)</f>
        <v>0.36412669544763404</v>
      </c>
      <c r="Y18" s="56">
        <f ca="1">_xll.qlModelGetSABRInterpolatedValue($AF8,R18)</f>
        <v>0.36507392869089206</v>
      </c>
      <c r="Z18" s="56">
        <f ca="1">_xll.qlModelGetSABRInterpolatedValue($AF8,S18)</f>
        <v>0.37315775760376257</v>
      </c>
      <c r="AA18" s="47">
        <f ca="1">_xll.qlModelGetSABRInterpolatedValue($AF8,T18)</f>
        <v>0.38447555853352289</v>
      </c>
      <c r="AB18" s="49">
        <f ca="1">AH10</f>
        <v>5.9346995153145329E-2</v>
      </c>
      <c r="AC18" s="50">
        <f ca="1">AH11</f>
        <v>0.50000000000000011</v>
      </c>
      <c r="AD18" s="50">
        <f ca="1">AH12</f>
        <v>0.72530428550767556</v>
      </c>
      <c r="AE18" s="51">
        <f ca="1">AH13</f>
        <v>0.13883719186101554</v>
      </c>
    </row>
    <row r="19" spans="9:36" x14ac:dyDescent="0.25">
      <c r="I19" s="1" t="s">
        <v>27</v>
      </c>
      <c r="J19" s="26">
        <v>43263</v>
      </c>
      <c r="K19" s="27">
        <f>_xll.qlTimeYearFraction($J$1,J19,"ACTUAL365")</f>
        <v>5.0027397260273974</v>
      </c>
      <c r="L19" s="28">
        <v>3.9100000000000003E-2</v>
      </c>
      <c r="M19" s="4">
        <v>0.31900000000000001</v>
      </c>
      <c r="N19" s="3">
        <v>2.41E-2</v>
      </c>
      <c r="O19" s="28">
        <v>2.9100000000000001E-2</v>
      </c>
      <c r="P19" s="28">
        <v>3.4099999999999998E-2</v>
      </c>
      <c r="Q19" s="28">
        <v>3.9100000000000003E-2</v>
      </c>
      <c r="R19" s="28">
        <v>4.41E-2</v>
      </c>
      <c r="S19" s="28">
        <v>4.9100000000000005E-2</v>
      </c>
      <c r="T19" s="4">
        <v>5.4100000000000002E-2</v>
      </c>
      <c r="U19" s="55">
        <f ca="1">_xll.qlModelGetSABRInterpolatedValue($AF9,N19)</f>
        <v>0.42319840278162041</v>
      </c>
      <c r="V19" s="56">
        <f ca="1">_xll.qlModelGetSABRInterpolatedValue($AF9,O19)</f>
        <v>0.37779980048582018</v>
      </c>
      <c r="W19" s="56">
        <f ca="1">_xll.qlModelGetSABRInterpolatedValue($AF9,P19)</f>
        <v>0.34835171777948754</v>
      </c>
      <c r="X19" s="56">
        <f ca="1">_xll.qlModelGetSABRInterpolatedValue($AF9,Q19)</f>
        <v>0.33381349171272096</v>
      </c>
      <c r="Y19" s="56">
        <f ca="1">_xll.qlModelGetSABRInterpolatedValue($AF9,R19)</f>
        <v>0.331277251619568</v>
      </c>
      <c r="Z19" s="56">
        <f ca="1">_xll.qlModelGetSABRInterpolatedValue($AF9,S19)</f>
        <v>0.33635089853465089</v>
      </c>
      <c r="AA19" s="47">
        <f ca="1">_xll.qlModelGetSABRInterpolatedValue($AF9,T19)</f>
        <v>0.34529834176467683</v>
      </c>
      <c r="AB19" s="49">
        <f ca="1">AJ10</f>
        <v>5.4867320939815757E-2</v>
      </c>
      <c r="AC19" s="50">
        <f ca="1">AJ11</f>
        <v>0.50000000000000011</v>
      </c>
      <c r="AD19" s="50">
        <f ca="1">AJ12</f>
        <v>0.68092307397662566</v>
      </c>
      <c r="AE19" s="51">
        <f ca="1">AJ13</f>
        <v>5.6236330171423959E-2</v>
      </c>
    </row>
    <row r="20" spans="9:36" x14ac:dyDescent="0.25">
      <c r="I20" s="1" t="s">
        <v>28</v>
      </c>
      <c r="J20" s="26">
        <v>43994</v>
      </c>
      <c r="K20" s="27">
        <f>_xll.qlTimeYearFraction($J$1,J20,"ACTUAL365")</f>
        <v>7.0054794520547947</v>
      </c>
      <c r="L20" s="28">
        <v>4.0800000000000003E-2</v>
      </c>
      <c r="M20" s="4">
        <v>0.28100000000000003</v>
      </c>
      <c r="N20" s="3">
        <v>2.58E-2</v>
      </c>
      <c r="O20" s="28">
        <v>3.0800000000000001E-2</v>
      </c>
      <c r="P20" s="28">
        <v>3.5799999999999998E-2</v>
      </c>
      <c r="Q20" s="28">
        <v>4.0800000000000003E-2</v>
      </c>
      <c r="R20" s="28">
        <v>4.58E-2</v>
      </c>
      <c r="S20" s="28">
        <v>5.0799999999999998E-2</v>
      </c>
      <c r="T20" s="4">
        <v>5.5800000000000002E-2</v>
      </c>
      <c r="U20" s="55">
        <f ca="1">_xll.qlModelGetSABRInterpolatedValue($AF10,N20)</f>
        <v>0.36689729554869038</v>
      </c>
      <c r="V20" s="56">
        <f ca="1">_xll.qlModelGetSABRInterpolatedValue($AF10,O20)</f>
        <v>0.33050390874456598</v>
      </c>
      <c r="W20" s="56">
        <f ca="1">_xll.qlModelGetSABRInterpolatedValue($AF10,P20)</f>
        <v>0.3072813061368187</v>
      </c>
      <c r="X20" s="56">
        <f ca="1">_xll.qlModelGetSABRInterpolatedValue($AF10,Q20)</f>
        <v>0.29628578216037887</v>
      </c>
      <c r="Y20" s="56">
        <f ca="1">_xll.qlModelGetSABRInterpolatedValue($AF10,R20)</f>
        <v>0.29497660426561378</v>
      </c>
      <c r="Z20" s="56">
        <f ca="1">_xll.qlModelGetSABRInterpolatedValue($AF10,S20)</f>
        <v>0.2997747273782802</v>
      </c>
      <c r="AA20" s="47">
        <f ca="1">_xll.qlModelGetSABRInterpolatedValue($AF10,T20)</f>
        <v>0.3077036559687642</v>
      </c>
      <c r="AB20" s="49">
        <f ca="1">AL10</f>
        <v>4.9014069470341357E-2</v>
      </c>
      <c r="AC20" s="50">
        <f ca="1">AL11</f>
        <v>0.50000000000000011</v>
      </c>
      <c r="AD20" s="50">
        <f ca="1">AL12</f>
        <v>0.5975589445087971</v>
      </c>
      <c r="AE20" s="51">
        <f ca="1">AL13</f>
        <v>8.1321200004194669E-2</v>
      </c>
    </row>
    <row r="21" spans="9:36" ht="15.75" thickBot="1" x14ac:dyDescent="0.3">
      <c r="I21" s="29" t="s">
        <v>29</v>
      </c>
      <c r="J21" s="30">
        <v>45089</v>
      </c>
      <c r="K21" s="31">
        <f>_xll.qlTimeYearFraction($J$1,J21,"ACTUAL365")</f>
        <v>10.005479452054795</v>
      </c>
      <c r="L21" s="32">
        <v>4.1200000000000001E-2</v>
      </c>
      <c r="M21" s="33">
        <v>0.26600000000000001</v>
      </c>
      <c r="N21" s="34">
        <v>2.6200000000000001E-2</v>
      </c>
      <c r="O21" s="32">
        <v>3.1200000000000002E-2</v>
      </c>
      <c r="P21" s="32">
        <v>3.6200000000000003E-2</v>
      </c>
      <c r="Q21" s="32">
        <v>4.1200000000000001E-2</v>
      </c>
      <c r="R21" s="32">
        <v>4.6199999999999998E-2</v>
      </c>
      <c r="S21" s="32">
        <v>5.1200000000000002E-2</v>
      </c>
      <c r="T21" s="33">
        <v>5.62E-2</v>
      </c>
      <c r="U21" s="57">
        <f ca="1">_xll.qlModelGetSABRInterpolatedValue($AF11,N21)</f>
        <v>0.33559080384345402</v>
      </c>
      <c r="V21" s="58">
        <f ca="1">_xll.qlModelGetSABRInterpolatedValue($AF11,O21)</f>
        <v>0.30694729322102338</v>
      </c>
      <c r="W21" s="58">
        <f ca="1">_xll.qlModelGetSABRInterpolatedValue($AF11,P21)</f>
        <v>0.28754262785163753</v>
      </c>
      <c r="X21" s="58">
        <f ca="1">_xll.qlModelGetSABRInterpolatedValue($AF11,Q21)</f>
        <v>0.27611850587018866</v>
      </c>
      <c r="Y21" s="58">
        <f ca="1">_xll.qlModelGetSABRInterpolatedValue($AF11,R21)</f>
        <v>0.27109022575735547</v>
      </c>
      <c r="Z21" s="58">
        <f ca="1">_xll.qlModelGetSABRInterpolatedValue($AF11,S21)</f>
        <v>0.2706007717277264</v>
      </c>
      <c r="AA21" s="48">
        <f ca="1">_xll.qlModelGetSABRInterpolatedValue($AF11,T21)</f>
        <v>0.27297253806001787</v>
      </c>
      <c r="AB21" s="52">
        <f ca="1">AN10</f>
        <v>4.7318933112983068E-2</v>
      </c>
      <c r="AC21" s="53">
        <f ca="1">AN11</f>
        <v>0.50000000000000011</v>
      </c>
      <c r="AD21" s="53">
        <f ca="1">AN12</f>
        <v>0.46024418396979683</v>
      </c>
      <c r="AE21" s="54">
        <f ca="1">AN13</f>
        <v>1.6546664566254341E-2</v>
      </c>
    </row>
    <row r="22" spans="9:36" ht="15.75" thickBot="1" x14ac:dyDescent="0.3"/>
    <row r="23" spans="9:36" ht="15.75" thickBot="1" x14ac:dyDescent="0.3">
      <c r="U23" s="100" t="s">
        <v>35</v>
      </c>
      <c r="V23" s="101"/>
      <c r="W23" s="101"/>
      <c r="X23" s="101"/>
      <c r="Y23" s="101"/>
      <c r="Z23" s="101"/>
      <c r="AA23" s="102"/>
      <c r="AC23" s="95"/>
      <c r="AD23" s="100" t="s">
        <v>36</v>
      </c>
      <c r="AE23" s="101"/>
      <c r="AF23" s="101"/>
      <c r="AG23" s="101"/>
      <c r="AH23" s="101"/>
      <c r="AI23" s="101"/>
      <c r="AJ23" s="102"/>
    </row>
    <row r="24" spans="9:36" x14ac:dyDescent="0.25">
      <c r="J24" s="98"/>
      <c r="U24" s="55">
        <f ca="1">U4</f>
        <v>0.58752000000000004</v>
      </c>
      <c r="V24" s="56"/>
      <c r="W24" s="56"/>
      <c r="X24" s="56"/>
      <c r="Y24" s="56"/>
      <c r="Z24" s="56"/>
      <c r="AA24" s="47"/>
      <c r="AB24" s="56"/>
      <c r="AC24" s="96" t="s">
        <v>3</v>
      </c>
      <c r="AD24" s="89">
        <f ca="1">U4*1.5</f>
        <v>0.88128000000000006</v>
      </c>
      <c r="AE24" s="90">
        <f t="shared" ref="AE24:AJ24" ca="1" si="0">V4*1.5</f>
        <v>0.71298000000000006</v>
      </c>
      <c r="AF24" s="90">
        <f t="shared" ca="1" si="0"/>
        <v>0.54927000000000004</v>
      </c>
      <c r="AG24" s="90">
        <f t="shared" ca="1" si="0"/>
        <v>0.52173000000000003</v>
      </c>
      <c r="AH24" s="90">
        <f t="shared" ca="1" si="0"/>
        <v>0.62729999999999997</v>
      </c>
      <c r="AI24" s="90">
        <f t="shared" ca="1" si="0"/>
        <v>0.70073999999999992</v>
      </c>
      <c r="AJ24" s="91">
        <f t="shared" ca="1" si="0"/>
        <v>0.76959</v>
      </c>
    </row>
    <row r="25" spans="9:36" x14ac:dyDescent="0.25">
      <c r="U25" s="55"/>
      <c r="V25" s="56"/>
      <c r="W25" s="56"/>
      <c r="X25" s="56"/>
      <c r="Y25" s="56"/>
      <c r="Z25" s="56"/>
      <c r="AA25" s="47"/>
      <c r="AB25" s="56"/>
      <c r="AC25" s="96" t="s">
        <v>4</v>
      </c>
      <c r="AD25" s="89">
        <f t="shared" ref="AD25:AD27" ca="1" si="1">U5*1.5</f>
        <v>0.82160999999999995</v>
      </c>
      <c r="AE25" s="90">
        <f t="shared" ref="AE25:AE27" ca="1" si="2">V5*1.5</f>
        <v>0.71756999999999993</v>
      </c>
      <c r="AF25" s="90">
        <f t="shared" ref="AF25:AF27" ca="1" si="3">W5*1.5</f>
        <v>0.60128999999999999</v>
      </c>
      <c r="AG25" s="90">
        <f t="shared" ref="AG25:AG27" ca="1" si="4">X5*1.5</f>
        <v>0.55845</v>
      </c>
      <c r="AH25" s="90">
        <f t="shared" ref="AH25:AH27" ca="1" si="5">Y5*1.5</f>
        <v>0.63188999999999995</v>
      </c>
      <c r="AI25" s="90">
        <f t="shared" ref="AI25:AI27" ca="1" si="6">Z5*1.5</f>
        <v>0.66402000000000005</v>
      </c>
      <c r="AJ25" s="91">
        <f t="shared" ref="AJ25:AJ27" ca="1" si="7">AA5*1.5</f>
        <v>0.71756999999999993</v>
      </c>
    </row>
    <row r="26" spans="9:36" x14ac:dyDescent="0.25">
      <c r="U26" s="55"/>
      <c r="V26" s="56"/>
      <c r="W26" s="56"/>
      <c r="X26" s="56"/>
      <c r="Y26" s="56"/>
      <c r="Z26" s="56"/>
      <c r="AA26" s="47"/>
      <c r="AB26" s="56"/>
      <c r="AC26" s="96" t="s">
        <v>10</v>
      </c>
      <c r="AD26" s="89">
        <f t="shared" ca="1" si="1"/>
        <v>0.75581999999999994</v>
      </c>
      <c r="AE26" s="90">
        <f t="shared" ca="1" si="2"/>
        <v>0.68543999999999994</v>
      </c>
      <c r="AF26" s="90">
        <f t="shared" ca="1" si="3"/>
        <v>0.60587999999999997</v>
      </c>
      <c r="AG26" s="90">
        <f t="shared" ca="1" si="4"/>
        <v>0.57833999999999997</v>
      </c>
      <c r="AH26" s="90">
        <f t="shared" ca="1" si="5"/>
        <v>0.60435000000000005</v>
      </c>
      <c r="AI26" s="90">
        <f t="shared" ca="1" si="6"/>
        <v>0.64107000000000003</v>
      </c>
      <c r="AJ26" s="91">
        <f t="shared" ca="1" si="7"/>
        <v>0.67320000000000002</v>
      </c>
    </row>
    <row r="27" spans="9:36" ht="15.75" thickBot="1" x14ac:dyDescent="0.3">
      <c r="U27" s="55"/>
      <c r="V27" s="56"/>
      <c r="W27" s="56"/>
      <c r="X27" s="56"/>
      <c r="Y27" s="56"/>
      <c r="Z27" s="56"/>
      <c r="AA27" s="47"/>
      <c r="AB27" s="56"/>
      <c r="AC27" s="97" t="s">
        <v>1</v>
      </c>
      <c r="AD27" s="92">
        <f t="shared" ca="1" si="1"/>
        <v>0.69768000000000008</v>
      </c>
      <c r="AE27" s="93">
        <f t="shared" ca="1" si="2"/>
        <v>0.63648000000000005</v>
      </c>
      <c r="AF27" s="93">
        <f t="shared" ca="1" si="3"/>
        <v>0.57987000000000011</v>
      </c>
      <c r="AG27" s="93">
        <f t="shared" ca="1" si="4"/>
        <v>0.55997999999999992</v>
      </c>
      <c r="AH27" s="93">
        <f t="shared" ca="1" si="5"/>
        <v>0.57833999999999997</v>
      </c>
      <c r="AI27" s="93">
        <f t="shared" ca="1" si="6"/>
        <v>0.59976000000000007</v>
      </c>
      <c r="AJ27" s="94">
        <f t="shared" ca="1" si="7"/>
        <v>0.6120000000000001</v>
      </c>
    </row>
    <row r="28" spans="9:36" x14ac:dyDescent="0.25">
      <c r="U28" s="55"/>
      <c r="V28" s="56"/>
      <c r="W28" s="56"/>
      <c r="X28" s="56"/>
      <c r="Y28" s="56"/>
      <c r="Z28" s="56"/>
      <c r="AA28" s="47"/>
      <c r="AB28" s="56"/>
    </row>
    <row r="29" spans="9:36" x14ac:dyDescent="0.25">
      <c r="U29" s="55"/>
      <c r="V29" s="56"/>
      <c r="W29" s="56"/>
      <c r="X29" s="56"/>
      <c r="Y29" s="56"/>
      <c r="Z29" s="56"/>
      <c r="AA29" s="47"/>
      <c r="AB29" s="56"/>
    </row>
    <row r="30" spans="9:36" x14ac:dyDescent="0.25">
      <c r="U30" s="55"/>
      <c r="V30" s="56"/>
      <c r="W30" s="56"/>
      <c r="X30" s="56"/>
      <c r="Y30" s="56"/>
      <c r="Z30" s="56"/>
      <c r="AA30" s="47"/>
      <c r="AB30" s="56"/>
    </row>
    <row r="31" spans="9:36" ht="15.75" thickBot="1" x14ac:dyDescent="0.3">
      <c r="U31" s="57"/>
      <c r="V31" s="58"/>
      <c r="W31" s="58"/>
      <c r="X31" s="58"/>
      <c r="Y31" s="58"/>
      <c r="Z31" s="58"/>
      <c r="AA31" s="48"/>
      <c r="AB31" s="56"/>
    </row>
  </sheetData>
  <mergeCells count="8">
    <mergeCell ref="U23:AA23"/>
    <mergeCell ref="AD23:AJ23"/>
    <mergeCell ref="AB2:AE2"/>
    <mergeCell ref="N13:T13"/>
    <mergeCell ref="U13:AA13"/>
    <mergeCell ref="AF3:AN3"/>
    <mergeCell ref="N3:T3"/>
    <mergeCell ref="U3:AA3"/>
  </mergeCells>
  <dataValidations count="1">
    <dataValidation type="list" allowBlank="1" showInputMessage="1" showErrorMessage="1" sqref="M1 H1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endEmail">
                <anchor moveWithCells="1" sizeWithCells="1">
                  <from>
                    <xdr:col>14</xdr:col>
                    <xdr:colOff>209550</xdr:colOff>
                    <xdr:row>23</xdr:row>
                    <xdr:rowOff>171450</xdr:rowOff>
                  </from>
                  <to>
                    <xdr:col>18</xdr:col>
                    <xdr:colOff>428625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PublishCurveToDB">
                <anchor moveWithCells="1" sizeWithCells="1">
                  <from>
                    <xdr:col>9</xdr:col>
                    <xdr:colOff>514350</xdr:colOff>
                    <xdr:row>23</xdr:row>
                    <xdr:rowOff>123825</xdr:rowOff>
                  </from>
                  <to>
                    <xdr:col>13</xdr:col>
                    <xdr:colOff>95250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0"/>
  <sheetViews>
    <sheetView workbookViewId="0">
      <selection activeCell="L32" sqref="L32"/>
    </sheetView>
  </sheetViews>
  <sheetFormatPr defaultRowHeight="15" x14ac:dyDescent="0.25"/>
  <sheetData>
    <row r="1" spans="1:7" x14ac:dyDescent="0.25">
      <c r="A1" s="3">
        <v>0.57600000000000007</v>
      </c>
      <c r="B1" s="28">
        <v>0.46600000000000003</v>
      </c>
      <c r="C1" s="28">
        <v>0.35899999999999999</v>
      </c>
      <c r="D1" s="28">
        <v>0.34100000000000003</v>
      </c>
      <c r="E1" s="28">
        <v>0.41</v>
      </c>
      <c r="F1" s="28">
        <v>0.45799999999999996</v>
      </c>
      <c r="G1" s="4">
        <v>0.503</v>
      </c>
    </row>
    <row r="2" spans="1:7" x14ac:dyDescent="0.25">
      <c r="A2" s="3">
        <v>0.53700000000000003</v>
      </c>
      <c r="B2" s="28">
        <v>0.46899999999999997</v>
      </c>
      <c r="C2" s="28">
        <v>0.39299999999999996</v>
      </c>
      <c r="D2" s="28">
        <v>0.36499999999999999</v>
      </c>
      <c r="E2" s="28">
        <v>0.41299999999999998</v>
      </c>
      <c r="F2" s="28">
        <v>0.434</v>
      </c>
      <c r="G2" s="4">
        <v>0.46899999999999997</v>
      </c>
    </row>
    <row r="3" spans="1:7" x14ac:dyDescent="0.25">
      <c r="A3" s="3">
        <v>0.49399999999999999</v>
      </c>
      <c r="B3" s="28">
        <v>0.44799999999999995</v>
      </c>
      <c r="C3" s="28">
        <v>0.39600000000000002</v>
      </c>
      <c r="D3" s="28">
        <v>0.37799999999999995</v>
      </c>
      <c r="E3" s="28">
        <v>0.39500000000000002</v>
      </c>
      <c r="F3" s="28">
        <v>0.41899999999999998</v>
      </c>
      <c r="G3" s="4">
        <v>0.44</v>
      </c>
    </row>
    <row r="4" spans="1:7" x14ac:dyDescent="0.25">
      <c r="A4" s="3">
        <v>0.45600000000000002</v>
      </c>
      <c r="B4" s="28">
        <v>0.41600000000000004</v>
      </c>
      <c r="C4" s="28">
        <v>0.379</v>
      </c>
      <c r="D4" s="28">
        <v>0.36599999999999999</v>
      </c>
      <c r="E4" s="28">
        <v>0.37799999999999995</v>
      </c>
      <c r="F4" s="28">
        <v>0.39200000000000002</v>
      </c>
      <c r="G4" s="4">
        <v>0.4</v>
      </c>
    </row>
    <row r="5" spans="1:7" x14ac:dyDescent="0.25">
      <c r="A5" s="3">
        <v>0.441</v>
      </c>
      <c r="B5" s="28">
        <v>0.39799999999999996</v>
      </c>
      <c r="C5" s="28">
        <v>0.37200000000000005</v>
      </c>
      <c r="D5" s="28">
        <v>0.35</v>
      </c>
      <c r="E5" s="28">
        <v>0.36</v>
      </c>
      <c r="F5" s="28">
        <v>0.36899999999999999</v>
      </c>
      <c r="G5" s="4">
        <v>0.375</v>
      </c>
    </row>
    <row r="6" spans="1:7" x14ac:dyDescent="0.25">
      <c r="A6" s="3">
        <v>0.41100000000000003</v>
      </c>
      <c r="B6" s="28">
        <v>0.374</v>
      </c>
      <c r="C6" s="28">
        <v>0.34700000000000003</v>
      </c>
      <c r="D6" s="28">
        <v>0.31900000000000001</v>
      </c>
      <c r="E6" s="28">
        <v>0.32600000000000001</v>
      </c>
      <c r="F6" s="28">
        <v>0.33200000000000002</v>
      </c>
      <c r="G6" s="4">
        <v>0.33799999999999997</v>
      </c>
    </row>
    <row r="7" spans="1:7" x14ac:dyDescent="0.25">
      <c r="A7" s="3">
        <v>0.35200000000000004</v>
      </c>
      <c r="B7" s="28">
        <v>0.33399999999999996</v>
      </c>
      <c r="C7" s="28">
        <v>0.30499999999999999</v>
      </c>
      <c r="D7" s="28">
        <v>0.28100000000000003</v>
      </c>
      <c r="E7" s="28">
        <v>0.28999999999999998</v>
      </c>
      <c r="F7" s="28">
        <v>0.29600000000000004</v>
      </c>
      <c r="G7" s="4">
        <v>0.30199999999999999</v>
      </c>
    </row>
    <row r="8" spans="1:7" ht="15.75" thickBot="1" x14ac:dyDescent="0.3">
      <c r="A8" s="34">
        <v>0.32</v>
      </c>
      <c r="B8" s="32">
        <v>0.31</v>
      </c>
      <c r="C8" s="32">
        <v>0.28899999999999998</v>
      </c>
      <c r="D8" s="32">
        <v>0.26600000000000001</v>
      </c>
      <c r="E8" s="32">
        <v>0.26</v>
      </c>
      <c r="F8" s="32">
        <v>0.26300000000000001</v>
      </c>
      <c r="G8" s="33">
        <v>0.27300000000000002</v>
      </c>
    </row>
    <row r="9" spans="1:7" x14ac:dyDescent="0.25">
      <c r="A9" s="78">
        <f>A1*0.98</f>
        <v>0.56448000000000009</v>
      </c>
      <c r="B9" s="79">
        <f t="shared" ref="B9:G9" si="0">B1*0.98</f>
        <v>0.45668000000000003</v>
      </c>
      <c r="C9" s="79">
        <f t="shared" si="0"/>
        <v>0.35181999999999997</v>
      </c>
      <c r="D9" s="79">
        <f t="shared" si="0"/>
        <v>0.33418000000000003</v>
      </c>
      <c r="E9" s="79">
        <f t="shared" si="0"/>
        <v>0.40179999999999999</v>
      </c>
      <c r="F9" s="79">
        <f t="shared" si="0"/>
        <v>0.44883999999999996</v>
      </c>
      <c r="G9" s="80">
        <f t="shared" si="0"/>
        <v>0.49293999999999999</v>
      </c>
    </row>
    <row r="10" spans="1:7" x14ac:dyDescent="0.25">
      <c r="A10" s="78">
        <f t="shared" ref="A10:G10" si="1">A2*0.98</f>
        <v>0.52626000000000006</v>
      </c>
      <c r="B10" s="79">
        <f t="shared" si="1"/>
        <v>0.45961999999999997</v>
      </c>
      <c r="C10" s="79">
        <f t="shared" si="1"/>
        <v>0.38513999999999993</v>
      </c>
      <c r="D10" s="79">
        <f t="shared" si="1"/>
        <v>0.35769999999999996</v>
      </c>
      <c r="E10" s="79">
        <f t="shared" si="1"/>
        <v>0.40473999999999999</v>
      </c>
      <c r="F10" s="79">
        <f t="shared" si="1"/>
        <v>0.42531999999999998</v>
      </c>
      <c r="G10" s="80">
        <f t="shared" si="1"/>
        <v>0.45961999999999997</v>
      </c>
    </row>
    <row r="11" spans="1:7" x14ac:dyDescent="0.25">
      <c r="A11" s="78">
        <f t="shared" ref="A11:G11" si="2">A3*0.98</f>
        <v>0.48411999999999999</v>
      </c>
      <c r="B11" s="79">
        <f t="shared" si="2"/>
        <v>0.43903999999999993</v>
      </c>
      <c r="C11" s="79">
        <f t="shared" si="2"/>
        <v>0.38808000000000004</v>
      </c>
      <c r="D11" s="79">
        <f t="shared" si="2"/>
        <v>0.37043999999999994</v>
      </c>
      <c r="E11" s="79">
        <f t="shared" si="2"/>
        <v>0.3871</v>
      </c>
      <c r="F11" s="79">
        <f t="shared" si="2"/>
        <v>0.41061999999999999</v>
      </c>
      <c r="G11" s="80">
        <f t="shared" si="2"/>
        <v>0.43119999999999997</v>
      </c>
    </row>
    <row r="12" spans="1:7" x14ac:dyDescent="0.25">
      <c r="A12" s="78">
        <f t="shared" ref="A12:G12" si="3">A4*0.98</f>
        <v>0.44688</v>
      </c>
      <c r="B12" s="79">
        <f t="shared" si="3"/>
        <v>0.40768000000000004</v>
      </c>
      <c r="C12" s="79">
        <f t="shared" si="3"/>
        <v>0.37141999999999997</v>
      </c>
      <c r="D12" s="79">
        <f t="shared" si="3"/>
        <v>0.35868</v>
      </c>
      <c r="E12" s="79">
        <f t="shared" si="3"/>
        <v>0.37043999999999994</v>
      </c>
      <c r="F12" s="79">
        <f t="shared" si="3"/>
        <v>0.38416</v>
      </c>
      <c r="G12" s="80">
        <f t="shared" si="3"/>
        <v>0.39200000000000002</v>
      </c>
    </row>
    <row r="13" spans="1:7" x14ac:dyDescent="0.25">
      <c r="A13" s="78">
        <f t="shared" ref="A13:G13" si="4">A5*0.98</f>
        <v>0.43218000000000001</v>
      </c>
      <c r="B13" s="79">
        <f t="shared" si="4"/>
        <v>0.39003999999999994</v>
      </c>
      <c r="C13" s="79">
        <f t="shared" si="4"/>
        <v>0.36456000000000005</v>
      </c>
      <c r="D13" s="79">
        <f t="shared" si="4"/>
        <v>0.34299999999999997</v>
      </c>
      <c r="E13" s="79">
        <f t="shared" si="4"/>
        <v>0.3528</v>
      </c>
      <c r="F13" s="79">
        <f t="shared" si="4"/>
        <v>0.36162</v>
      </c>
      <c r="G13" s="80">
        <f t="shared" si="4"/>
        <v>0.36749999999999999</v>
      </c>
    </row>
    <row r="14" spans="1:7" x14ac:dyDescent="0.25">
      <c r="A14" s="78">
        <f t="shared" ref="A14:G14" si="5">A6*0.98</f>
        <v>0.40278000000000003</v>
      </c>
      <c r="B14" s="79">
        <f t="shared" si="5"/>
        <v>0.36652000000000001</v>
      </c>
      <c r="C14" s="79">
        <f t="shared" si="5"/>
        <v>0.34006000000000003</v>
      </c>
      <c r="D14" s="79">
        <f t="shared" si="5"/>
        <v>0.31262000000000001</v>
      </c>
      <c r="E14" s="79">
        <f t="shared" si="5"/>
        <v>0.31947999999999999</v>
      </c>
      <c r="F14" s="79">
        <f t="shared" si="5"/>
        <v>0.32536000000000004</v>
      </c>
      <c r="G14" s="80">
        <f t="shared" si="5"/>
        <v>0.33123999999999998</v>
      </c>
    </row>
    <row r="15" spans="1:7" x14ac:dyDescent="0.25">
      <c r="A15" s="78">
        <f t="shared" ref="A15:G15" si="6">A7*0.98</f>
        <v>0.34496000000000004</v>
      </c>
      <c r="B15" s="79">
        <f t="shared" si="6"/>
        <v>0.32731999999999994</v>
      </c>
      <c r="C15" s="79">
        <f t="shared" si="6"/>
        <v>0.2989</v>
      </c>
      <c r="D15" s="79">
        <f t="shared" si="6"/>
        <v>0.27538000000000001</v>
      </c>
      <c r="E15" s="79">
        <f t="shared" si="6"/>
        <v>0.28419999999999995</v>
      </c>
      <c r="F15" s="79">
        <f t="shared" si="6"/>
        <v>0.29008000000000006</v>
      </c>
      <c r="G15" s="80">
        <f t="shared" si="6"/>
        <v>0.29596</v>
      </c>
    </row>
    <row r="16" spans="1:7" ht="15.75" thickBot="1" x14ac:dyDescent="0.3">
      <c r="A16" s="81">
        <f t="shared" ref="A16:G16" si="7">A8*0.98</f>
        <v>0.31359999999999999</v>
      </c>
      <c r="B16" s="82">
        <f t="shared" si="7"/>
        <v>0.30380000000000001</v>
      </c>
      <c r="C16" s="82">
        <f t="shared" si="7"/>
        <v>0.28321999999999997</v>
      </c>
      <c r="D16" s="82">
        <f t="shared" si="7"/>
        <v>0.26068000000000002</v>
      </c>
      <c r="E16" s="82">
        <f t="shared" si="7"/>
        <v>0.25480000000000003</v>
      </c>
      <c r="F16" s="82">
        <f t="shared" si="7"/>
        <v>0.25774000000000002</v>
      </c>
      <c r="G16" s="83">
        <f t="shared" si="7"/>
        <v>0.26754</v>
      </c>
    </row>
    <row r="17" spans="1:7" x14ac:dyDescent="0.25">
      <c r="A17" s="78">
        <f>A1*0.96</f>
        <v>0.55296000000000001</v>
      </c>
      <c r="B17" s="79">
        <f t="shared" ref="B17:G17" si="8">B1*0.96</f>
        <v>0.44736000000000004</v>
      </c>
      <c r="C17" s="79">
        <f t="shared" si="8"/>
        <v>0.34463999999999995</v>
      </c>
      <c r="D17" s="79">
        <f t="shared" si="8"/>
        <v>0.32736000000000004</v>
      </c>
      <c r="E17" s="79">
        <f t="shared" si="8"/>
        <v>0.39359999999999995</v>
      </c>
      <c r="F17" s="79">
        <f t="shared" si="8"/>
        <v>0.43967999999999996</v>
      </c>
      <c r="G17" s="80">
        <f t="shared" si="8"/>
        <v>0.48287999999999998</v>
      </c>
    </row>
    <row r="18" spans="1:7" x14ac:dyDescent="0.25">
      <c r="A18" s="78">
        <f t="shared" ref="A18:G18" si="9">A2*0.96</f>
        <v>0.51551999999999998</v>
      </c>
      <c r="B18" s="79">
        <f t="shared" si="9"/>
        <v>0.45023999999999997</v>
      </c>
      <c r="C18" s="79">
        <f t="shared" si="9"/>
        <v>0.37727999999999995</v>
      </c>
      <c r="D18" s="79">
        <f t="shared" si="9"/>
        <v>0.35039999999999999</v>
      </c>
      <c r="E18" s="79">
        <f t="shared" si="9"/>
        <v>0.39647999999999994</v>
      </c>
      <c r="F18" s="79">
        <f t="shared" si="9"/>
        <v>0.41663999999999995</v>
      </c>
      <c r="G18" s="80">
        <f t="shared" si="9"/>
        <v>0.45023999999999997</v>
      </c>
    </row>
    <row r="19" spans="1:7" x14ac:dyDescent="0.25">
      <c r="A19" s="78">
        <f t="shared" ref="A19:G19" si="10">A3*0.96</f>
        <v>0.47423999999999999</v>
      </c>
      <c r="B19" s="79">
        <f t="shared" si="10"/>
        <v>0.43007999999999996</v>
      </c>
      <c r="C19" s="79">
        <f t="shared" si="10"/>
        <v>0.38016</v>
      </c>
      <c r="D19" s="79">
        <f t="shared" si="10"/>
        <v>0.36287999999999992</v>
      </c>
      <c r="E19" s="79">
        <f t="shared" si="10"/>
        <v>0.37919999999999998</v>
      </c>
      <c r="F19" s="79">
        <f t="shared" si="10"/>
        <v>0.40223999999999999</v>
      </c>
      <c r="G19" s="80">
        <f t="shared" si="10"/>
        <v>0.4224</v>
      </c>
    </row>
    <row r="20" spans="1:7" x14ac:dyDescent="0.25">
      <c r="A20" s="78">
        <f t="shared" ref="A20:G20" si="11">A4*0.96</f>
        <v>0.43775999999999998</v>
      </c>
      <c r="B20" s="79">
        <f t="shared" si="11"/>
        <v>0.39935999999999999</v>
      </c>
      <c r="C20" s="79">
        <f t="shared" si="11"/>
        <v>0.36384</v>
      </c>
      <c r="D20" s="79">
        <f t="shared" si="11"/>
        <v>0.35136000000000001</v>
      </c>
      <c r="E20" s="79">
        <f t="shared" si="11"/>
        <v>0.36287999999999992</v>
      </c>
      <c r="F20" s="79">
        <f t="shared" si="11"/>
        <v>0.37631999999999999</v>
      </c>
      <c r="G20" s="80">
        <f t="shared" si="11"/>
        <v>0.38400000000000001</v>
      </c>
    </row>
    <row r="21" spans="1:7" x14ac:dyDescent="0.25">
      <c r="A21" s="78">
        <f t="shared" ref="A21:G21" si="12">A5*0.96</f>
        <v>0.42336000000000001</v>
      </c>
      <c r="B21" s="79">
        <f t="shared" si="12"/>
        <v>0.38207999999999998</v>
      </c>
      <c r="C21" s="79">
        <f t="shared" si="12"/>
        <v>0.35712000000000005</v>
      </c>
      <c r="D21" s="79">
        <f t="shared" si="12"/>
        <v>0.33599999999999997</v>
      </c>
      <c r="E21" s="79">
        <f t="shared" si="12"/>
        <v>0.34559999999999996</v>
      </c>
      <c r="F21" s="79">
        <f t="shared" si="12"/>
        <v>0.35424</v>
      </c>
      <c r="G21" s="80">
        <f t="shared" si="12"/>
        <v>0.36</v>
      </c>
    </row>
    <row r="22" spans="1:7" x14ac:dyDescent="0.25">
      <c r="A22" s="78">
        <f t="shared" ref="A22:G22" si="13">A6*0.96</f>
        <v>0.39456000000000002</v>
      </c>
      <c r="B22" s="79">
        <f t="shared" si="13"/>
        <v>0.35903999999999997</v>
      </c>
      <c r="C22" s="79">
        <f t="shared" si="13"/>
        <v>0.33312000000000003</v>
      </c>
      <c r="D22" s="79">
        <f t="shared" si="13"/>
        <v>0.30624000000000001</v>
      </c>
      <c r="E22" s="79">
        <f t="shared" si="13"/>
        <v>0.31296000000000002</v>
      </c>
      <c r="F22" s="79">
        <f t="shared" si="13"/>
        <v>0.31872</v>
      </c>
      <c r="G22" s="80">
        <f t="shared" si="13"/>
        <v>0.32447999999999994</v>
      </c>
    </row>
    <row r="23" spans="1:7" x14ac:dyDescent="0.25">
      <c r="A23" s="78">
        <f t="shared" ref="A23:G23" si="14">A7*0.96</f>
        <v>0.33792</v>
      </c>
      <c r="B23" s="79">
        <f t="shared" si="14"/>
        <v>0.32063999999999998</v>
      </c>
      <c r="C23" s="79">
        <f t="shared" si="14"/>
        <v>0.2928</v>
      </c>
      <c r="D23" s="79">
        <f t="shared" si="14"/>
        <v>0.26976</v>
      </c>
      <c r="E23" s="79">
        <f t="shared" si="14"/>
        <v>0.27839999999999998</v>
      </c>
      <c r="F23" s="79">
        <f t="shared" si="14"/>
        <v>0.28416000000000002</v>
      </c>
      <c r="G23" s="80">
        <f t="shared" si="14"/>
        <v>0.28991999999999996</v>
      </c>
    </row>
    <row r="24" spans="1:7" ht="15.75" thickBot="1" x14ac:dyDescent="0.3">
      <c r="A24" s="81">
        <f t="shared" ref="A24:G24" si="15">A8*0.96</f>
        <v>0.30719999999999997</v>
      </c>
      <c r="B24" s="82">
        <f t="shared" si="15"/>
        <v>0.29759999999999998</v>
      </c>
      <c r="C24" s="82">
        <f t="shared" si="15"/>
        <v>0.27743999999999996</v>
      </c>
      <c r="D24" s="82">
        <f t="shared" si="15"/>
        <v>0.25536000000000003</v>
      </c>
      <c r="E24" s="82">
        <f t="shared" si="15"/>
        <v>0.24959999999999999</v>
      </c>
      <c r="F24" s="82">
        <f t="shared" si="15"/>
        <v>0.25247999999999998</v>
      </c>
      <c r="G24" s="83">
        <f t="shared" si="15"/>
        <v>0.26208000000000004</v>
      </c>
    </row>
    <row r="25" spans="1:7" x14ac:dyDescent="0.25">
      <c r="A25" s="78">
        <f>A1*1.02</f>
        <v>0.58752000000000004</v>
      </c>
      <c r="B25" s="79">
        <f t="shared" ref="B25:G25" si="16">B1*1.02</f>
        <v>0.47532000000000002</v>
      </c>
      <c r="C25" s="79">
        <f t="shared" si="16"/>
        <v>0.36618000000000001</v>
      </c>
      <c r="D25" s="79">
        <f t="shared" si="16"/>
        <v>0.34782000000000002</v>
      </c>
      <c r="E25" s="79">
        <f t="shared" si="16"/>
        <v>0.41819999999999996</v>
      </c>
      <c r="F25" s="79">
        <f t="shared" si="16"/>
        <v>0.46715999999999996</v>
      </c>
      <c r="G25" s="80">
        <f t="shared" si="16"/>
        <v>0.51305999999999996</v>
      </c>
    </row>
    <row r="26" spans="1:7" x14ac:dyDescent="0.25">
      <c r="A26" s="78">
        <f t="shared" ref="A26:G26" si="17">A2*1.02</f>
        <v>0.54774</v>
      </c>
      <c r="B26" s="79">
        <f t="shared" si="17"/>
        <v>0.47837999999999997</v>
      </c>
      <c r="C26" s="79">
        <f t="shared" si="17"/>
        <v>0.40085999999999999</v>
      </c>
      <c r="D26" s="79">
        <f t="shared" si="17"/>
        <v>0.37230000000000002</v>
      </c>
      <c r="E26" s="79">
        <f t="shared" si="17"/>
        <v>0.42125999999999997</v>
      </c>
      <c r="F26" s="79">
        <f t="shared" si="17"/>
        <v>0.44268000000000002</v>
      </c>
      <c r="G26" s="80">
        <f t="shared" si="17"/>
        <v>0.47837999999999997</v>
      </c>
    </row>
    <row r="27" spans="1:7" x14ac:dyDescent="0.25">
      <c r="A27" s="78">
        <f t="shared" ref="A27:G27" si="18">A3*1.02</f>
        <v>0.50387999999999999</v>
      </c>
      <c r="B27" s="79">
        <f t="shared" si="18"/>
        <v>0.45695999999999998</v>
      </c>
      <c r="C27" s="79">
        <f t="shared" si="18"/>
        <v>0.40392</v>
      </c>
      <c r="D27" s="79">
        <f t="shared" si="18"/>
        <v>0.38555999999999996</v>
      </c>
      <c r="E27" s="79">
        <f t="shared" si="18"/>
        <v>0.40290000000000004</v>
      </c>
      <c r="F27" s="79">
        <f t="shared" si="18"/>
        <v>0.42737999999999998</v>
      </c>
      <c r="G27" s="80">
        <f t="shared" si="18"/>
        <v>0.44880000000000003</v>
      </c>
    </row>
    <row r="28" spans="1:7" x14ac:dyDescent="0.25">
      <c r="A28" s="78">
        <f t="shared" ref="A28:G28" si="19">A4*1.02</f>
        <v>0.46512000000000003</v>
      </c>
      <c r="B28" s="79">
        <f t="shared" si="19"/>
        <v>0.42432000000000003</v>
      </c>
      <c r="C28" s="79">
        <f t="shared" si="19"/>
        <v>0.38658000000000003</v>
      </c>
      <c r="D28" s="79">
        <f t="shared" si="19"/>
        <v>0.37331999999999999</v>
      </c>
      <c r="E28" s="79">
        <f t="shared" si="19"/>
        <v>0.38555999999999996</v>
      </c>
      <c r="F28" s="79">
        <f t="shared" si="19"/>
        <v>0.39984000000000003</v>
      </c>
      <c r="G28" s="80">
        <f t="shared" si="19"/>
        <v>0.40800000000000003</v>
      </c>
    </row>
    <row r="29" spans="1:7" x14ac:dyDescent="0.25">
      <c r="A29" s="78">
        <f t="shared" ref="A29:G29" si="20">A5*1.02</f>
        <v>0.44982</v>
      </c>
      <c r="B29" s="79">
        <f t="shared" si="20"/>
        <v>0.40595999999999999</v>
      </c>
      <c r="C29" s="79">
        <f t="shared" si="20"/>
        <v>0.37944000000000006</v>
      </c>
      <c r="D29" s="79">
        <f t="shared" si="20"/>
        <v>0.35699999999999998</v>
      </c>
      <c r="E29" s="79">
        <f t="shared" si="20"/>
        <v>0.36719999999999997</v>
      </c>
      <c r="F29" s="79">
        <f t="shared" si="20"/>
        <v>0.37637999999999999</v>
      </c>
      <c r="G29" s="80">
        <f t="shared" si="20"/>
        <v>0.38250000000000001</v>
      </c>
    </row>
    <row r="30" spans="1:7" x14ac:dyDescent="0.25">
      <c r="A30" s="78">
        <f t="shared" ref="A30:G30" si="21">A6*1.02</f>
        <v>0.41922000000000004</v>
      </c>
      <c r="B30" s="79">
        <f t="shared" si="21"/>
        <v>0.38147999999999999</v>
      </c>
      <c r="C30" s="79">
        <f t="shared" si="21"/>
        <v>0.35394000000000003</v>
      </c>
      <c r="D30" s="79">
        <f t="shared" si="21"/>
        <v>0.32538</v>
      </c>
      <c r="E30" s="79">
        <f t="shared" si="21"/>
        <v>0.33252000000000004</v>
      </c>
      <c r="F30" s="79">
        <f t="shared" si="21"/>
        <v>0.33864</v>
      </c>
      <c r="G30" s="80">
        <f t="shared" si="21"/>
        <v>0.34475999999999996</v>
      </c>
    </row>
    <row r="31" spans="1:7" x14ac:dyDescent="0.25">
      <c r="A31" s="78">
        <f t="shared" ref="A31:G31" si="22">A7*1.02</f>
        <v>0.35904000000000003</v>
      </c>
      <c r="B31" s="79">
        <f t="shared" si="22"/>
        <v>0.34067999999999998</v>
      </c>
      <c r="C31" s="79">
        <f t="shared" si="22"/>
        <v>0.31109999999999999</v>
      </c>
      <c r="D31" s="79">
        <f t="shared" si="22"/>
        <v>0.28662000000000004</v>
      </c>
      <c r="E31" s="79">
        <f t="shared" si="22"/>
        <v>0.29580000000000001</v>
      </c>
      <c r="F31" s="79">
        <f t="shared" si="22"/>
        <v>0.30192000000000002</v>
      </c>
      <c r="G31" s="80">
        <f t="shared" si="22"/>
        <v>0.30803999999999998</v>
      </c>
    </row>
    <row r="32" spans="1:7" ht="15.75" thickBot="1" x14ac:dyDescent="0.3">
      <c r="A32" s="81">
        <f t="shared" ref="A32:G32" si="23">A8*1.02</f>
        <v>0.32640000000000002</v>
      </c>
      <c r="B32" s="82">
        <f t="shared" si="23"/>
        <v>0.31619999999999998</v>
      </c>
      <c r="C32" s="82">
        <f t="shared" si="23"/>
        <v>0.29477999999999999</v>
      </c>
      <c r="D32" s="82">
        <f t="shared" si="23"/>
        <v>0.27132000000000001</v>
      </c>
      <c r="E32" s="82">
        <f t="shared" si="23"/>
        <v>0.26519999999999999</v>
      </c>
      <c r="F32" s="82">
        <f t="shared" si="23"/>
        <v>0.26826</v>
      </c>
      <c r="G32" s="83">
        <f t="shared" si="23"/>
        <v>0.27846000000000004</v>
      </c>
    </row>
    <row r="33" spans="1:7" x14ac:dyDescent="0.25">
      <c r="A33" s="78">
        <f>A1*1.04</f>
        <v>0.59904000000000013</v>
      </c>
      <c r="B33" s="79">
        <f t="shared" ref="B33:G33" si="24">B1*1.04</f>
        <v>0.48464000000000002</v>
      </c>
      <c r="C33" s="79">
        <f t="shared" si="24"/>
        <v>0.37336000000000003</v>
      </c>
      <c r="D33" s="79">
        <f t="shared" si="24"/>
        <v>0.35464000000000001</v>
      </c>
      <c r="E33" s="79">
        <f t="shared" si="24"/>
        <v>0.4264</v>
      </c>
      <c r="F33" s="79">
        <f t="shared" si="24"/>
        <v>0.47631999999999997</v>
      </c>
      <c r="G33" s="80">
        <f t="shared" si="24"/>
        <v>0.52312000000000003</v>
      </c>
    </row>
    <row r="34" spans="1:7" x14ac:dyDescent="0.25">
      <c r="A34" s="78">
        <f t="shared" ref="A34:G34" si="25">A2*1.04</f>
        <v>0.55848000000000009</v>
      </c>
      <c r="B34" s="79">
        <f t="shared" si="25"/>
        <v>0.48775999999999997</v>
      </c>
      <c r="C34" s="79">
        <f t="shared" si="25"/>
        <v>0.40871999999999997</v>
      </c>
      <c r="D34" s="79">
        <f t="shared" si="25"/>
        <v>0.37959999999999999</v>
      </c>
      <c r="E34" s="79">
        <f t="shared" si="25"/>
        <v>0.42952000000000001</v>
      </c>
      <c r="F34" s="79">
        <f t="shared" si="25"/>
        <v>0.45136000000000004</v>
      </c>
      <c r="G34" s="80">
        <f t="shared" si="25"/>
        <v>0.48775999999999997</v>
      </c>
    </row>
    <row r="35" spans="1:7" x14ac:dyDescent="0.25">
      <c r="A35" s="78">
        <f t="shared" ref="A35:G35" si="26">A3*1.04</f>
        <v>0.51375999999999999</v>
      </c>
      <c r="B35" s="79">
        <f t="shared" si="26"/>
        <v>0.46591999999999995</v>
      </c>
      <c r="C35" s="79">
        <f t="shared" si="26"/>
        <v>0.41184000000000004</v>
      </c>
      <c r="D35" s="79">
        <f t="shared" si="26"/>
        <v>0.39311999999999997</v>
      </c>
      <c r="E35" s="79">
        <f t="shared" si="26"/>
        <v>0.41080000000000005</v>
      </c>
      <c r="F35" s="79">
        <f t="shared" si="26"/>
        <v>0.43575999999999998</v>
      </c>
      <c r="G35" s="80">
        <f t="shared" si="26"/>
        <v>0.45760000000000001</v>
      </c>
    </row>
    <row r="36" spans="1:7" x14ac:dyDescent="0.25">
      <c r="A36" s="78">
        <f t="shared" ref="A36:G36" si="27">A4*1.04</f>
        <v>0.47424000000000005</v>
      </c>
      <c r="B36" s="79">
        <f t="shared" si="27"/>
        <v>0.43264000000000008</v>
      </c>
      <c r="C36" s="79">
        <f t="shared" si="27"/>
        <v>0.39416000000000001</v>
      </c>
      <c r="D36" s="79">
        <f t="shared" si="27"/>
        <v>0.38063999999999998</v>
      </c>
      <c r="E36" s="79">
        <f t="shared" si="27"/>
        <v>0.39311999999999997</v>
      </c>
      <c r="F36" s="79">
        <f t="shared" si="27"/>
        <v>0.40768000000000004</v>
      </c>
      <c r="G36" s="80">
        <f t="shared" si="27"/>
        <v>0.41600000000000004</v>
      </c>
    </row>
    <row r="37" spans="1:7" x14ac:dyDescent="0.25">
      <c r="A37" s="78">
        <f t="shared" ref="A37:G37" si="28">A5*1.04</f>
        <v>0.45863999999999999</v>
      </c>
      <c r="B37" s="79">
        <f t="shared" si="28"/>
        <v>0.41391999999999995</v>
      </c>
      <c r="C37" s="79">
        <f t="shared" si="28"/>
        <v>0.38688000000000006</v>
      </c>
      <c r="D37" s="79">
        <f t="shared" si="28"/>
        <v>0.36399999999999999</v>
      </c>
      <c r="E37" s="79">
        <f t="shared" si="28"/>
        <v>0.37440000000000001</v>
      </c>
      <c r="F37" s="79">
        <f t="shared" si="28"/>
        <v>0.38375999999999999</v>
      </c>
      <c r="G37" s="80">
        <f t="shared" si="28"/>
        <v>0.39</v>
      </c>
    </row>
    <row r="38" spans="1:7" x14ac:dyDescent="0.25">
      <c r="A38" s="78">
        <f t="shared" ref="A38:G38" si="29">A6*1.04</f>
        <v>0.42744000000000004</v>
      </c>
      <c r="B38" s="79">
        <f t="shared" si="29"/>
        <v>0.38896000000000003</v>
      </c>
      <c r="C38" s="79">
        <f t="shared" si="29"/>
        <v>0.36088000000000003</v>
      </c>
      <c r="D38" s="79">
        <f t="shared" si="29"/>
        <v>0.33176</v>
      </c>
      <c r="E38" s="79">
        <f t="shared" si="29"/>
        <v>0.33904000000000001</v>
      </c>
      <c r="F38" s="79">
        <f t="shared" si="29"/>
        <v>0.34528000000000003</v>
      </c>
      <c r="G38" s="80">
        <f t="shared" si="29"/>
        <v>0.35152</v>
      </c>
    </row>
    <row r="39" spans="1:7" x14ac:dyDescent="0.25">
      <c r="A39" s="78">
        <f t="shared" ref="A39:G39" si="30">A7*1.04</f>
        <v>0.36608000000000007</v>
      </c>
      <c r="B39" s="79">
        <f t="shared" si="30"/>
        <v>0.34735999999999995</v>
      </c>
      <c r="C39" s="79">
        <f t="shared" si="30"/>
        <v>0.31719999999999998</v>
      </c>
      <c r="D39" s="79">
        <f t="shared" si="30"/>
        <v>0.29224000000000006</v>
      </c>
      <c r="E39" s="79">
        <f t="shared" si="30"/>
        <v>0.30159999999999998</v>
      </c>
      <c r="F39" s="79">
        <f t="shared" si="30"/>
        <v>0.30784000000000006</v>
      </c>
      <c r="G39" s="80">
        <f t="shared" si="30"/>
        <v>0.31408000000000003</v>
      </c>
    </row>
    <row r="40" spans="1:7" ht="15.75" thickBot="1" x14ac:dyDescent="0.3">
      <c r="A40" s="81">
        <f t="shared" ref="A40:G40" si="31">A8*1.04</f>
        <v>0.33280000000000004</v>
      </c>
      <c r="B40" s="82">
        <f t="shared" si="31"/>
        <v>0.32240000000000002</v>
      </c>
      <c r="C40" s="82">
        <f t="shared" si="31"/>
        <v>0.30055999999999999</v>
      </c>
      <c r="D40" s="82">
        <f t="shared" si="31"/>
        <v>0.27664</v>
      </c>
      <c r="E40" s="82">
        <f t="shared" si="31"/>
        <v>0.27040000000000003</v>
      </c>
      <c r="F40" s="82">
        <f t="shared" si="31"/>
        <v>0.27352000000000004</v>
      </c>
      <c r="G40" s="83">
        <f t="shared" si="31"/>
        <v>0.28392000000000001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SABR</vt:lpstr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Yixin</dc:creator>
  <cp:lastModifiedBy>Letian</cp:lastModifiedBy>
  <dcterms:created xsi:type="dcterms:W3CDTF">2015-02-13T00:26:01Z</dcterms:created>
  <dcterms:modified xsi:type="dcterms:W3CDTF">2016-01-08T02:42:06Z</dcterms:modified>
</cp:coreProperties>
</file>