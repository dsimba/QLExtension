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Letian\QLExtension\Output\Workbooks\"/>
    </mc:Choice>
  </mc:AlternateContent>
  <bookViews>
    <workbookView xWindow="480" yWindow="135" windowWidth="18195" windowHeight="11760"/>
  </bookViews>
  <sheets>
    <sheet name="Live" sheetId="1" r:id="rId1"/>
    <sheet name="Historical" sheetId="2" r:id="rId2"/>
  </sheets>
  <definedNames>
    <definedName name="_xlnm._FilterDatabase" localSheetId="0" hidden="1">Live!$A$2:$J$2</definedName>
  </definedNames>
  <calcPr calcId="152511"/>
</workbook>
</file>

<file path=xl/calcChain.xml><?xml version="1.0" encoding="utf-8"?>
<calcChain xmlns="http://schemas.openxmlformats.org/spreadsheetml/2006/main">
  <c r="J3" i="2" l="1"/>
  <c r="J2" i="2" s="1"/>
  <c r="B4" i="1" a="1"/>
  <c r="B5" i="1" a="1"/>
  <c r="B14" i="1" a="1"/>
  <c r="B7" i="1" a="1"/>
  <c r="B3" i="1" a="1"/>
  <c r="B10" i="1" a="1"/>
  <c r="B15" i="1" a="1"/>
  <c r="B18" i="1" a="1"/>
  <c r="B13" i="1" a="1"/>
  <c r="B12" i="1" a="1"/>
  <c r="B11" i="1" a="1"/>
  <c r="B17" i="1" a="1"/>
  <c r="B9" i="1" a="1"/>
  <c r="B8" i="1" a="1"/>
  <c r="B16" i="1" a="1"/>
  <c r="B6" i="1" a="1"/>
  <c r="B1" i="1"/>
  <c r="F18" i="1"/>
  <c r="I6" i="1"/>
  <c r="J17" i="1"/>
  <c r="C11" i="1"/>
  <c r="D16" i="1"/>
  <c r="J12" i="1"/>
  <c r="E9" i="1"/>
  <c r="H6" i="1"/>
  <c r="D8" i="1"/>
  <c r="F13" i="1"/>
  <c r="G15" i="1"/>
  <c r="G10" i="1"/>
  <c r="G6" i="1"/>
  <c r="I9" i="1"/>
  <c r="I18" i="1"/>
  <c r="B15" i="1"/>
  <c r="C13" i="1"/>
  <c r="E10" i="1"/>
  <c r="E11" i="1"/>
  <c r="F14" i="1"/>
  <c r="E5" i="1"/>
  <c r="F12" i="1"/>
  <c r="J8" i="1"/>
  <c r="B17" i="1"/>
  <c r="G3" i="1"/>
  <c r="H7" i="1"/>
  <c r="B13" i="1"/>
  <c r="C3" i="1"/>
  <c r="I14" i="1"/>
  <c r="B18" i="1"/>
  <c r="G17" i="1"/>
  <c r="B11" i="1"/>
  <c r="J11" i="1"/>
  <c r="H4" i="1"/>
  <c r="H8" i="1"/>
  <c r="I3" i="1"/>
  <c r="F11" i="1"/>
  <c r="J13" i="1"/>
  <c r="B6" i="1"/>
  <c r="B8" i="1"/>
  <c r="E6" i="1"/>
  <c r="B12" i="1"/>
  <c r="D12" i="1"/>
  <c r="J5" i="1"/>
  <c r="E7" i="1"/>
  <c r="C16" i="1"/>
  <c r="D5" i="1"/>
  <c r="D4" i="1"/>
  <c r="C4" i="1"/>
  <c r="D13" i="1"/>
  <c r="I11" i="1"/>
  <c r="F7" i="1"/>
  <c r="B10" i="1"/>
  <c r="E17" i="1"/>
  <c r="E15" i="1"/>
  <c r="G18" i="1"/>
  <c r="J9" i="1"/>
  <c r="F16" i="1"/>
  <c r="E16" i="1"/>
  <c r="J4" i="1"/>
  <c r="I16" i="1"/>
  <c r="B4" i="1"/>
  <c r="F15" i="1"/>
  <c r="B16" i="1"/>
  <c r="C14" i="1"/>
  <c r="B5" i="1"/>
  <c r="J15" i="1"/>
  <c r="G7" i="1"/>
  <c r="C17" i="1"/>
  <c r="E3" i="1"/>
  <c r="D10" i="1"/>
  <c r="B7" i="1"/>
  <c r="C10" i="1"/>
  <c r="I5" i="1"/>
  <c r="G9" i="1"/>
  <c r="F10" i="1"/>
  <c r="F5" i="1"/>
  <c r="D6" i="1"/>
  <c r="G8" i="1"/>
  <c r="D17" i="1"/>
  <c r="B3" i="1"/>
  <c r="C9" i="1"/>
  <c r="D15" i="1"/>
  <c r="G14" i="1"/>
  <c r="G4" i="1"/>
  <c r="B9" i="1"/>
  <c r="H11" i="1"/>
  <c r="D7" i="1"/>
  <c r="F8" i="1"/>
  <c r="D3" i="1"/>
  <c r="J6" i="1"/>
  <c r="I17" i="1"/>
  <c r="H17" i="1"/>
  <c r="F6" i="1"/>
  <c r="C7" i="1"/>
  <c r="C15" i="1"/>
  <c r="H16" i="1"/>
  <c r="G12" i="1"/>
  <c r="C5" i="1"/>
  <c r="H3" i="1"/>
  <c r="E18" i="1"/>
  <c r="G16" i="1"/>
  <c r="E4" i="1"/>
  <c r="G5" i="1"/>
  <c r="E13" i="1"/>
  <c r="I10" i="1"/>
  <c r="F3" i="1"/>
  <c r="F17" i="1"/>
  <c r="F9" i="1"/>
  <c r="E12" i="1"/>
  <c r="I12" i="1"/>
  <c r="E14" i="1"/>
  <c r="G13" i="1"/>
  <c r="C12" i="1"/>
  <c r="I8" i="1"/>
  <c r="J18" i="1"/>
  <c r="H9" i="1"/>
  <c r="I4" i="1"/>
  <c r="H10" i="1"/>
  <c r="D11" i="1"/>
  <c r="C18" i="1"/>
  <c r="C6" i="1"/>
  <c r="E8" i="1"/>
  <c r="H13" i="1"/>
  <c r="D9" i="1"/>
  <c r="I15" i="1"/>
  <c r="D14" i="1"/>
  <c r="I13" i="1"/>
  <c r="H18" i="1"/>
  <c r="J10" i="1"/>
  <c r="G11" i="1"/>
  <c r="H5" i="1"/>
  <c r="C8" i="1"/>
  <c r="I7" i="1"/>
  <c r="H14" i="1"/>
  <c r="B14" i="1"/>
  <c r="H15" i="1"/>
  <c r="H12" i="1"/>
  <c r="J14" i="1"/>
  <c r="J3" i="1"/>
  <c r="F4" i="1"/>
  <c r="D18" i="1"/>
  <c r="J7" i="1"/>
  <c r="J16" i="1"/>
  <c r="L3" i="1" l="1"/>
  <c r="L14" i="1"/>
  <c r="L16" i="1"/>
  <c r="L13" i="1"/>
  <c r="L9" i="1"/>
  <c r="L18" i="1"/>
  <c r="L17" i="1"/>
  <c r="L11" i="1"/>
  <c r="L6" i="1"/>
  <c r="L7" i="1"/>
  <c r="L8" i="1"/>
  <c r="L10" i="1"/>
  <c r="L4" i="1"/>
  <c r="L12" i="1"/>
  <c r="L5" i="1"/>
  <c r="L15" i="1"/>
  <c r="L21" i="1" l="1"/>
  <c r="L19" i="1"/>
  <c r="L20" i="1"/>
</calcChain>
</file>

<file path=xl/sharedStrings.xml><?xml version="1.0" encoding="utf-8"?>
<sst xmlns="http://schemas.openxmlformats.org/spreadsheetml/2006/main" count="46" uniqueCount="41">
  <si>
    <t>AAPL</t>
  </si>
  <si>
    <t>Ticker</t>
  </si>
  <si>
    <t>Price</t>
  </si>
  <si>
    <t>Change</t>
  </si>
  <si>
    <t>% Change</t>
  </si>
  <si>
    <t>Time</t>
  </si>
  <si>
    <t>GOOGL</t>
  </si>
  <si>
    <t>GLD</t>
  </si>
  <si>
    <t>TLT</t>
  </si>
  <si>
    <t>FB</t>
  </si>
  <si>
    <t>XIV</t>
  </si>
  <si>
    <t>TSLA</t>
  </si>
  <si>
    <t>QQQ</t>
  </si>
  <si>
    <t>SPY</t>
  </si>
  <si>
    <t>BP</t>
  </si>
  <si>
    <t>DIA</t>
  </si>
  <si>
    <t>AMZN</t>
  </si>
  <si>
    <t>LNKD</t>
  </si>
  <si>
    <t>Bid</t>
  </si>
  <si>
    <t>Ask</t>
  </si>
  <si>
    <t>High</t>
  </si>
  <si>
    <t>Low</t>
  </si>
  <si>
    <t>Volume</t>
  </si>
  <si>
    <t>Size</t>
  </si>
  <si>
    <t>Open</t>
  </si>
  <si>
    <t>VXX</t>
  </si>
  <si>
    <t>UVXY</t>
  </si>
  <si>
    <t>USO</t>
  </si>
  <si>
    <t>Total</t>
  </si>
  <si>
    <t>PnL</t>
  </si>
  <si>
    <t>Long Side</t>
  </si>
  <si>
    <t>Short Side</t>
  </si>
  <si>
    <t>Symbol</t>
  </si>
  <si>
    <t>StartDate</t>
  </si>
  <si>
    <t>EndDate</t>
  </si>
  <si>
    <t>Frequency</t>
  </si>
  <si>
    <t>IsDescending</t>
  </si>
  <si>
    <t>Date</t>
  </si>
  <si>
    <t>Close</t>
  </si>
  <si>
    <t>Adj Close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</si>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</sst>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:ss;@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2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1" xfId="0" applyFill="1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0" fontId="0" fillId="6" borderId="9" xfId="0" applyFill="1" applyBorder="1" applyAlignment="1">
      <alignment horizontal="left" vertical="center"/>
    </xf>
    <xf numFmtId="0" fontId="0" fillId="7" borderId="3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14" fontId="0" fillId="7" borderId="6" xfId="0" applyNumberFormat="1" applyFill="1" applyBorder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7b7a3113a30482090ca6068e658aae9">
      <tp t="s">
        <v>103.47,-1.73,-1.64%,103.55,103.70,105.74,106.00,103.03,29531763</v>
        <stp/>
        <stp>3</stp>
        <stp>RealTimeQuote</stp>
        <stp/>
        <stp>FB</stp>
        <tr r="H12" s="1"/>
        <tr r="C12" s="1"/>
        <tr r="I12" s="1"/>
        <tr r="E12" s="1"/>
        <tr r="G12" s="1"/>
        <tr r="D12" s="1"/>
        <tr r="B12" s="1"/>
        <tr r="F12" s="1"/>
        <tr r="J12" s="1"/>
      </tp>
      <tp t="s">
        <v>29.78,-0.17,-0.57%,29.77,29.85,30.18,30.21,29.61,9265629</v>
        <stp/>
        <stp>3</stp>
        <stp>RealTimeQuote</stp>
        <stp/>
        <stp>BP</stp>
        <tr r="H15" s="1"/>
        <tr r="I15" s="1"/>
        <tr r="C15" s="1"/>
        <tr r="D15" s="1"/>
        <tr r="J15" s="1"/>
        <tr r="F15" s="1"/>
        <tr r="E15" s="1"/>
        <tr r="B15" s="1"/>
        <tr r="G15" s="1"/>
      </tp>
      <tp t="s">
        <v>164.52,-0.41,-0.25%,164.57,164.75,165.33,165.45,164.29,5171638</v>
        <stp/>
        <stp>3</stp>
        <stp>RealTimeQuote</stp>
        <stp/>
        <stp>DIA</stp>
        <tr r="C8" s="1"/>
        <tr r="E8" s="1"/>
        <tr r="I8" s="1"/>
        <tr r="F8" s="1"/>
        <tr r="G8" s="1"/>
        <tr r="B8" s="1"/>
        <tr r="H8" s="1"/>
        <tr r="J8" s="1"/>
        <tr r="D8" s="1"/>
      </tp>
    </main>
    <main first="rtdsrv.07b7a3113a30482090ca6068e658aae9">
      <tp t="s">
        <v>118.29,2.81,2.43%,117.53,118.13,115.30,118.60,115.29,13577605</v>
        <stp/>
        <stp>3</stp>
        <stp>RealTimeQuote</stp>
        <stp/>
        <stp>GLD</stp>
        <tr r="D9" s="1"/>
        <tr r="H9" s="1"/>
        <tr r="F9" s="1"/>
        <tr r="B9" s="1"/>
        <tr r="C9" s="1"/>
        <tr r="G9" s="1"/>
        <tr r="J9" s="1"/>
        <tr r="I9" s="1"/>
        <tr r="E9" s="1"/>
      </tp>
    </main>
    <main first="rtdsrv.07b7a3113a30482090ca6068e658aae9">
      <tp t="s">
        <v>130.90,1.59,1.23%,131.02,131.17,129.41,131.00,129.36,10185548</v>
        <stp/>
        <stp>3</stp>
        <stp>RealTimeQuote</stp>
        <stp/>
        <stp>TLT</stp>
        <tr r="G11" s="1"/>
        <tr r="D11" s="1"/>
        <tr r="H11" s="1"/>
        <tr r="I11" s="1"/>
        <tr r="F11" s="1"/>
        <tr r="J11" s="1"/>
        <tr r="B11" s="1"/>
        <tr r="E11" s="1"/>
        <tr r="C11" s="1"/>
      </tp>
      <tp t="s">
        <v>8.66,-0.12,-1.37%,8.72,8.73,9.03,9.07,8.65,54267697</v>
        <stp/>
        <stp>3</stp>
        <stp>RealTimeQuote</stp>
        <stp/>
        <stp>USO</stp>
        <tr r="J10" s="1"/>
        <tr r="H10" s="1"/>
        <tr r="I10" s="1"/>
        <tr r="F10" s="1"/>
        <tr r="C10" s="1"/>
        <tr r="D10" s="1"/>
        <tr r="B10" s="1"/>
        <tr r="E10" s="1"/>
        <tr r="G10" s="1"/>
      </tp>
      <tp t="s">
        <v>26.08,-0.10,-0.38%,26.00,26.01,26.00,26.54,25.69,58776038</v>
        <stp/>
        <stp>3</stp>
        <stp>RealTimeQuote</stp>
        <stp/>
        <stp>VXX</stp>
        <tr r="H5" s="1"/>
        <tr r="G5" s="1"/>
        <tr r="C5" s="1"/>
        <tr r="F5" s="1"/>
        <tr r="I5" s="1"/>
        <tr r="B5" s="1"/>
        <tr r="D5" s="1"/>
        <tr r="J5" s="1"/>
        <tr r="E5" s="1"/>
      </tp>
    </main>
    <main first="rtdsrv.07b7a3113a30482090ca6068e658aae9">
      <tp t="s">
        <v>101.33,-1.17,-1.14%,101.54,101.56,102.82,102.84,101.20,38910894</v>
        <stp/>
        <stp>3</stp>
        <stp>RealTimeQuote</stp>
        <stp/>
        <stp>QQQ</stp>
        <tr r="J7" s="1"/>
        <tr r="I7" s="1"/>
        <tr r="C7" s="1"/>
        <tr r="D7" s="1"/>
        <tr r="B7" s="1"/>
        <tr r="G7" s="1"/>
        <tr r="F7" s="1"/>
        <tr r="E7" s="1"/>
        <tr r="H7" s="1"/>
      </tp>
    </main>
    <main first="rtdsrv.07b7a3113a30482090ca6068e658aae9">
      <tp t="s">
        <v>192.09,-0.79,-0.41%,192.38,192.39,193.20,193.27,191.72,101584963</v>
        <stp/>
        <stp>3</stp>
        <stp>RealTimeQuote</stp>
        <stp/>
        <stp>SPY</stp>
        <tr r="J3" s="1"/>
        <tr r="F3" s="1"/>
        <tr r="H3" s="1"/>
        <tr r="D3" s="1"/>
        <tr r="B3" s="1"/>
        <tr r="E3" s="1"/>
        <tr r="I3" s="1"/>
        <tr r="C3" s="1"/>
        <tr r="G3" s="1"/>
      </tp>
      <tp t="s">
        <v>18.19,0.08,0.44%,18.22,18.24,18.27,18.47,17.88,22536575</v>
        <stp/>
        <stp>3</stp>
        <stp>RealTimeQuote</stp>
        <stp/>
        <stp>XIV</stp>
        <tr r="F4" s="1"/>
        <tr r="I4" s="1"/>
        <tr r="E4" s="1"/>
        <tr r="G4" s="1"/>
        <tr r="B4" s="1"/>
        <tr r="J4" s="1"/>
        <tr r="C4" s="1"/>
        <tr r="D4" s="1"/>
        <tr r="H4" s="1"/>
      </tp>
      <tp t="s">
        <v>717.51,-14.46,-1.98%,717.00,720.10,733.96,736.00,715.55,2350415</v>
        <stp/>
        <stp>3</stp>
        <stp>RealTimeQuote</stp>
        <stp/>
        <stp>GOOGL</stp>
        <tr r="J14" s="1"/>
        <tr r="B14" s="1"/>
        <tr r="H14" s="1"/>
        <tr r="D14" s="1"/>
        <tr r="E14" s="1"/>
        <tr r="G14" s="1"/>
        <tr r="C14" s="1"/>
        <tr r="I14" s="1"/>
        <tr r="F14" s="1"/>
      </tp>
    </main>
    <main first="rtdsrv.07b7a3113a30482090ca6068e658aae9">
      <tp t="s">
        <v>17:23:52</v>
        <stp/>
        <stp>3</stp>
        <stp>NOW</stp>
        <tr r="B1" s="1"/>
      </tp>
    </main>
    <main first="rtdsrv.07b7a3113a30482090ca6068e658aae9">
      <tp t="s">
        <v>166.77,-1.91,-1.13%,166.77,167.30,172.90,172.95,164.77,3882102</v>
        <stp/>
        <stp>3</stp>
        <stp>RealTimeQuote</stp>
        <stp/>
        <stp>TSLA</stp>
        <tr r="I13" s="1"/>
        <tr r="H13" s="1"/>
        <tr r="G13" s="1"/>
        <tr r="E13" s="1"/>
        <tr r="D13" s="1"/>
        <tr r="J13" s="1"/>
        <tr r="B13" s="1"/>
        <tr r="C13" s="1"/>
        <tr r="F13" s="1"/>
      </tp>
      <tp t="s">
        <v>44.27,-0.33,-0.74%,44.02,44.08,43.94,45.78,42.92,25398156</v>
        <stp/>
        <stp>3</stp>
        <stp>RealTimeQuote</stp>
        <stp/>
        <stp>UVXY</stp>
        <tr r="C6" s="1"/>
        <tr r="F6" s="1"/>
        <tr r="J6" s="1"/>
        <tr r="D6" s="1"/>
        <tr r="E6" s="1"/>
        <tr r="B6" s="1"/>
        <tr r="G6" s="1"/>
        <tr r="H6" s="1"/>
        <tr r="I6" s="1"/>
      </tp>
      <tp t="s">
        <v>113.46,2.45,2.21%,113.50,113.65,111.58,115.55,108.81,5339195</v>
        <stp/>
        <stp>3</stp>
        <stp>RealTimeQuote</stp>
        <stp/>
        <stp>LNKD</stp>
        <tr r="D18" s="1"/>
        <tr r="H18" s="1"/>
        <tr r="C18" s="1"/>
        <tr r="J18" s="1"/>
        <tr r="E18" s="1"/>
        <tr r="G18" s="1"/>
        <tr r="B18" s="1"/>
        <tr r="I18" s="1"/>
        <tr r="F18" s="1"/>
      </tp>
      <tp t="s">
        <v>525.00,-9.10,-1.70%,526.00,527.50,541.08,541.20,523.73,4733125</v>
        <stp/>
        <stp>3</stp>
        <stp>RealTimeQuote</stp>
        <stp/>
        <stp>AMZN</stp>
        <tr r="F17" s="1"/>
        <tr r="H17" s="1"/>
        <tr r="I17" s="1"/>
        <tr r="D17" s="1"/>
        <tr r="C17" s="1"/>
        <tr r="E17" s="1"/>
        <tr r="G17" s="1"/>
        <tr r="B17" s="1"/>
        <tr r="J17" s="1"/>
      </tp>
    </main>
    <main first="rtdsrv.07b7a3113a30482090ca6068e658aae9">
      <tp t="s">
        <v>96.26,-1.86,-1.90%,96.27,96.30,98.75,98.89,96.09,38857588</v>
        <stp/>
        <stp>3</stp>
        <stp>RealTimeQuote</stp>
        <stp/>
        <stp>AAPL</stp>
        <tr r="J16" s="1"/>
        <tr r="G16" s="1"/>
        <tr r="H16" s="1"/>
        <tr r="B16" s="1"/>
        <tr r="I16" s="1"/>
        <tr r="E16" s="1"/>
        <tr r="F16" s="1"/>
        <tr r="C16" s="1"/>
        <tr r="D1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v>Open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Lit>
              <c:ptCount val="15"/>
              <c:pt idx="0">
                <c:v>1/27/2016</c:v>
              </c:pt>
              <c:pt idx="1">
                <c:v>1/28/2016</c:v>
              </c:pt>
              <c:pt idx="2">
                <c:v>1/29/2016</c:v>
              </c:pt>
              <c:pt idx="3">
                <c:v>2/1/2016</c:v>
              </c:pt>
              <c:pt idx="4">
                <c:v>2/2/2016</c:v>
              </c:pt>
              <c:pt idx="5">
                <c:v>2/3/2016</c:v>
              </c:pt>
              <c:pt idx="6">
                <c:v>2/4/2016</c:v>
              </c:pt>
              <c:pt idx="7">
                <c:v>2/5/2016</c:v>
              </c:pt>
              <c:pt idx="8">
                <c:v>2/8/2016</c:v>
              </c:pt>
              <c:pt idx="9">
                <c:v>2/9/2016</c:v>
              </c:pt>
              <c:pt idx="10">
                <c:v>2/10/2016</c:v>
              </c:pt>
              <c:pt idx="11">
                <c:v>2/11/2016</c:v>
              </c:pt>
              <c:pt idx="12">
                <c:v>2/12/2016</c:v>
              </c:pt>
              <c:pt idx="13">
                <c:v>2/16/2016</c:v>
              </c:pt>
              <c:pt idx="14">
                <c:v>2/17/2016</c:v>
              </c:pt>
            </c:strLit>
          </c:cat>
          <c:val>
            <c:numLit>
              <c:formatCode>General</c:formatCode>
              <c:ptCount val="15"/>
              <c:pt idx="0">
                <c:v>189.58000200000001</c:v>
              </c:pt>
              <c:pt idx="1">
                <c:v>189.96000699999999</c:v>
              </c:pt>
              <c:pt idx="2">
                <c:v>190.020004</c:v>
              </c:pt>
              <c:pt idx="3">
                <c:v>192.529999</c:v>
              </c:pt>
              <c:pt idx="4">
                <c:v>191.96000699999999</c:v>
              </c:pt>
              <c:pt idx="5">
                <c:v>191.41000399999999</c:v>
              </c:pt>
              <c:pt idx="6">
                <c:v>190.71000699999999</c:v>
              </c:pt>
              <c:pt idx="7">
                <c:v>190.990005</c:v>
              </c:pt>
              <c:pt idx="8">
                <c:v>185.770004</c:v>
              </c:pt>
              <c:pt idx="9">
                <c:v>183.36000100000001</c:v>
              </c:pt>
              <c:pt idx="10">
                <c:v>186.41000399999999</c:v>
              </c:pt>
              <c:pt idx="11">
                <c:v>182.33999600000001</c:v>
              </c:pt>
              <c:pt idx="12">
                <c:v>184.96000699999999</c:v>
              </c:pt>
              <c:pt idx="13">
                <c:v>188.770004</c:v>
              </c:pt>
              <c:pt idx="14">
                <c:v>191.16000399999999</c:v>
              </c:pt>
            </c:numLit>
          </c:val>
          <c:smooth val="0"/>
        </c:ser>
        <c:ser>
          <c:idx val="1"/>
          <c:order val="1"/>
          <c:tx>
            <c:v>High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Lit>
              <c:ptCount val="15"/>
              <c:pt idx="0">
                <c:v>1/27/2016</c:v>
              </c:pt>
              <c:pt idx="1">
                <c:v>1/28/2016</c:v>
              </c:pt>
              <c:pt idx="2">
                <c:v>1/29/2016</c:v>
              </c:pt>
              <c:pt idx="3">
                <c:v>2/1/2016</c:v>
              </c:pt>
              <c:pt idx="4">
                <c:v>2/2/2016</c:v>
              </c:pt>
              <c:pt idx="5">
                <c:v>2/3/2016</c:v>
              </c:pt>
              <c:pt idx="6">
                <c:v>2/4/2016</c:v>
              </c:pt>
              <c:pt idx="7">
                <c:v>2/5/2016</c:v>
              </c:pt>
              <c:pt idx="8">
                <c:v>2/8/2016</c:v>
              </c:pt>
              <c:pt idx="9">
                <c:v>2/9/2016</c:v>
              </c:pt>
              <c:pt idx="10">
                <c:v>2/10/2016</c:v>
              </c:pt>
              <c:pt idx="11">
                <c:v>2/11/2016</c:v>
              </c:pt>
              <c:pt idx="12">
                <c:v>2/12/2016</c:v>
              </c:pt>
              <c:pt idx="13">
                <c:v>2/16/2016</c:v>
              </c:pt>
              <c:pt idx="14">
                <c:v>2/17/2016</c:v>
              </c:pt>
            </c:strLit>
          </c:cat>
          <c:val>
            <c:numLit>
              <c:formatCode>General</c:formatCode>
              <c:ptCount val="15"/>
              <c:pt idx="0">
                <c:v>191.55999800000001</c:v>
              </c:pt>
              <c:pt idx="1">
                <c:v>190.199997</c:v>
              </c:pt>
              <c:pt idx="2">
                <c:v>193.88000500000001</c:v>
              </c:pt>
              <c:pt idx="3">
                <c:v>194.58000200000001</c:v>
              </c:pt>
              <c:pt idx="4">
                <c:v>191.970001</c:v>
              </c:pt>
              <c:pt idx="5">
                <c:v>191.779999</c:v>
              </c:pt>
              <c:pt idx="6">
                <c:v>192.75</c:v>
              </c:pt>
              <c:pt idx="7">
                <c:v>191.66999799999999</c:v>
              </c:pt>
              <c:pt idx="8">
                <c:v>186.11999499999999</c:v>
              </c:pt>
              <c:pt idx="9">
                <c:v>186.94000199999999</c:v>
              </c:pt>
              <c:pt idx="10">
                <c:v>188.33999600000001</c:v>
              </c:pt>
              <c:pt idx="11">
                <c:v>184.10000600000001</c:v>
              </c:pt>
              <c:pt idx="12">
                <c:v>186.64999399999999</c:v>
              </c:pt>
              <c:pt idx="13">
                <c:v>189.80999800000001</c:v>
              </c:pt>
              <c:pt idx="14">
                <c:v>193.320007</c:v>
              </c:pt>
            </c:numLit>
          </c:val>
          <c:smooth val="0"/>
        </c:ser>
        <c:ser>
          <c:idx val="2"/>
          <c:order val="2"/>
          <c:tx>
            <c:v>Low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Lit>
              <c:ptCount val="15"/>
              <c:pt idx="0">
                <c:v>1/27/2016</c:v>
              </c:pt>
              <c:pt idx="1">
                <c:v>1/28/2016</c:v>
              </c:pt>
              <c:pt idx="2">
                <c:v>1/29/2016</c:v>
              </c:pt>
              <c:pt idx="3">
                <c:v>2/1/2016</c:v>
              </c:pt>
              <c:pt idx="4">
                <c:v>2/2/2016</c:v>
              </c:pt>
              <c:pt idx="5">
                <c:v>2/3/2016</c:v>
              </c:pt>
              <c:pt idx="6">
                <c:v>2/4/2016</c:v>
              </c:pt>
              <c:pt idx="7">
                <c:v>2/5/2016</c:v>
              </c:pt>
              <c:pt idx="8">
                <c:v>2/8/2016</c:v>
              </c:pt>
              <c:pt idx="9">
                <c:v>2/9/2016</c:v>
              </c:pt>
              <c:pt idx="10">
                <c:v>2/10/2016</c:v>
              </c:pt>
              <c:pt idx="11">
                <c:v>2/11/2016</c:v>
              </c:pt>
              <c:pt idx="12">
                <c:v>2/12/2016</c:v>
              </c:pt>
              <c:pt idx="13">
                <c:v>2/16/2016</c:v>
              </c:pt>
              <c:pt idx="14">
                <c:v>2/17/2016</c:v>
              </c:pt>
            </c:strLit>
          </c:cat>
          <c:val>
            <c:numLit>
              <c:formatCode>General</c:formatCode>
              <c:ptCount val="15"/>
              <c:pt idx="0">
                <c:v>187.05999800000001</c:v>
              </c:pt>
              <c:pt idx="1">
                <c:v>187.16000399999999</c:v>
              </c:pt>
              <c:pt idx="2">
                <c:v>189.88000500000001</c:v>
              </c:pt>
              <c:pt idx="3">
                <c:v>191.83999600000001</c:v>
              </c:pt>
              <c:pt idx="4">
                <c:v>189.53999300000001</c:v>
              </c:pt>
              <c:pt idx="5">
                <c:v>187.10000600000001</c:v>
              </c:pt>
              <c:pt idx="6">
                <c:v>189.96000699999999</c:v>
              </c:pt>
              <c:pt idx="7">
                <c:v>187.199997</c:v>
              </c:pt>
              <c:pt idx="8">
                <c:v>182.800003</c:v>
              </c:pt>
              <c:pt idx="9">
                <c:v>183.199997</c:v>
              </c:pt>
              <c:pt idx="10">
                <c:v>185.11999499999999</c:v>
              </c:pt>
              <c:pt idx="11">
                <c:v>181.08999600000001</c:v>
              </c:pt>
              <c:pt idx="12">
                <c:v>183.96000699999999</c:v>
              </c:pt>
              <c:pt idx="13">
                <c:v>187.63000500000001</c:v>
              </c:pt>
              <c:pt idx="14">
                <c:v>191.009995</c:v>
              </c:pt>
            </c:numLit>
          </c:val>
          <c:smooth val="0"/>
        </c:ser>
        <c:ser>
          <c:idx val="3"/>
          <c:order val="3"/>
          <c:tx>
            <c:v>Close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Lit>
              <c:ptCount val="15"/>
              <c:pt idx="0">
                <c:v>1/27/2016</c:v>
              </c:pt>
              <c:pt idx="1">
                <c:v>1/28/2016</c:v>
              </c:pt>
              <c:pt idx="2">
                <c:v>1/29/2016</c:v>
              </c:pt>
              <c:pt idx="3">
                <c:v>2/1/2016</c:v>
              </c:pt>
              <c:pt idx="4">
                <c:v>2/2/2016</c:v>
              </c:pt>
              <c:pt idx="5">
                <c:v>2/3/2016</c:v>
              </c:pt>
              <c:pt idx="6">
                <c:v>2/4/2016</c:v>
              </c:pt>
              <c:pt idx="7">
                <c:v>2/5/2016</c:v>
              </c:pt>
              <c:pt idx="8">
                <c:v>2/8/2016</c:v>
              </c:pt>
              <c:pt idx="9">
                <c:v>2/9/2016</c:v>
              </c:pt>
              <c:pt idx="10">
                <c:v>2/10/2016</c:v>
              </c:pt>
              <c:pt idx="11">
                <c:v>2/11/2016</c:v>
              </c:pt>
              <c:pt idx="12">
                <c:v>2/12/2016</c:v>
              </c:pt>
              <c:pt idx="13">
                <c:v>2/16/2016</c:v>
              </c:pt>
              <c:pt idx="14">
                <c:v>2/17/2016</c:v>
              </c:pt>
            </c:strLit>
          </c:cat>
          <c:val>
            <c:numLit>
              <c:formatCode>General</c:formatCode>
              <c:ptCount val="15"/>
              <c:pt idx="0">
                <c:v>188.13000500000001</c:v>
              </c:pt>
              <c:pt idx="1">
                <c:v>189.11000100000001</c:v>
              </c:pt>
              <c:pt idx="2">
                <c:v>193.720001</c:v>
              </c:pt>
              <c:pt idx="3">
                <c:v>193.64999399999999</c:v>
              </c:pt>
              <c:pt idx="4">
                <c:v>190.16000399999999</c:v>
              </c:pt>
              <c:pt idx="5">
                <c:v>191.300003</c:v>
              </c:pt>
              <c:pt idx="6">
                <c:v>191.60000600000001</c:v>
              </c:pt>
              <c:pt idx="7">
                <c:v>187.949997</c:v>
              </c:pt>
              <c:pt idx="8">
                <c:v>185.41999799999999</c:v>
              </c:pt>
              <c:pt idx="9">
                <c:v>185.429993</c:v>
              </c:pt>
              <c:pt idx="10">
                <c:v>185.270004</c:v>
              </c:pt>
              <c:pt idx="11">
                <c:v>182.86000100000001</c:v>
              </c:pt>
              <c:pt idx="12">
                <c:v>186.63000500000001</c:v>
              </c:pt>
              <c:pt idx="13">
                <c:v>189.779999</c:v>
              </c:pt>
              <c:pt idx="14">
                <c:v>192.88000500000001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axId val="414689216"/>
        <c:axId val="414687256"/>
      </c:stockChart>
      <c:catAx>
        <c:axId val="41468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687256"/>
        <c:crosses val="autoZero"/>
        <c:auto val="1"/>
        <c:lblAlgn val="ctr"/>
        <c:lblOffset val="100"/>
        <c:noMultiLvlLbl val="0"/>
      </c:catAx>
      <c:valAx>
        <c:axId val="414687256"/>
        <c:scaling>
          <c:orientation val="minMax"/>
          <c:max val="204.30900210000001"/>
          <c:min val="172.0354962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68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6</xdr:row>
          <xdr:rowOff>38100</xdr:rowOff>
        </xdr:from>
        <xdr:to>
          <xdr:col>9</xdr:col>
          <xdr:colOff>742950</xdr:colOff>
          <xdr:row>8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Retrieve Historical Prices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495299</xdr:colOff>
      <xdr:row>9</xdr:row>
      <xdr:rowOff>52386</xdr:rowOff>
    </xdr:from>
    <xdr:to>
      <xdr:col>16</xdr:col>
      <xdr:colOff>38100</xdr:colOff>
      <xdr:row>31</xdr:row>
      <xdr:rowOff>85725</xdr:rowOff>
    </xdr:to>
    <xdr:graphicFrame macro="">
      <xdr:nvGraphicFramePr>
        <xdr:cNvPr id="2" name="ChartStockDataCandl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1"/>
  <sheetViews>
    <sheetView tabSelected="1" workbookViewId="0">
      <selection activeCell="P13" sqref="P13"/>
    </sheetView>
  </sheetViews>
  <sheetFormatPr defaultRowHeight="15" x14ac:dyDescent="0.25"/>
  <cols>
    <col min="1" max="1" width="19.28515625" customWidth="1"/>
    <col min="2" max="2" width="12.85546875" customWidth="1"/>
    <col min="3" max="12" width="11.7109375" customWidth="1"/>
  </cols>
  <sheetData>
    <row r="1" spans="1:12" ht="15.75" thickBot="1" x14ac:dyDescent="0.3">
      <c r="A1" s="3" t="s">
        <v>5</v>
      </c>
      <c r="B1" s="4" t="str">
        <f>_xll.qlTimeNow(3)</f>
        <v>17:23:52</v>
      </c>
    </row>
    <row r="2" spans="1:12" ht="15.75" thickBot="1" x14ac:dyDescent="0.3">
      <c r="A2" s="5" t="s">
        <v>1</v>
      </c>
      <c r="B2" s="1" t="s">
        <v>2</v>
      </c>
      <c r="C2" s="1" t="s">
        <v>3</v>
      </c>
      <c r="D2" s="1" t="s">
        <v>4</v>
      </c>
      <c r="E2" s="1" t="s">
        <v>18</v>
      </c>
      <c r="F2" s="1" t="s">
        <v>19</v>
      </c>
      <c r="G2" s="1" t="s">
        <v>24</v>
      </c>
      <c r="H2" s="1" t="s">
        <v>20</v>
      </c>
      <c r="I2" s="1" t="s">
        <v>21</v>
      </c>
      <c r="J2" s="6" t="s">
        <v>22</v>
      </c>
      <c r="K2" s="7" t="s">
        <v>23</v>
      </c>
      <c r="L2" s="7" t="s">
        <v>29</v>
      </c>
    </row>
    <row r="3" spans="1:12" x14ac:dyDescent="0.25">
      <c r="A3" s="2" t="s">
        <v>13</v>
      </c>
      <c r="B3" s="2" t="str">
        <f t="array" ref="B3:J3">_xll.qlDataRTDQuote(A3,,3)</f>
        <v>192.09</v>
      </c>
      <c r="C3" s="2" t="str">
        <v>-0.79</v>
      </c>
      <c r="D3" s="2" t="str">
        <v>-0.41%</v>
      </c>
      <c r="E3" s="2" t="str">
        <v>192.38</v>
      </c>
      <c r="F3" s="2" t="str">
        <v>192.39</v>
      </c>
      <c r="G3" s="2" t="str">
        <v>193.20</v>
      </c>
      <c r="H3" s="2" t="str">
        <v>193.27</v>
      </c>
      <c r="I3" s="2" t="str">
        <v>191.72</v>
      </c>
      <c r="J3" s="2" t="str">
        <v>101584963</v>
      </c>
      <c r="K3" s="2">
        <v>185</v>
      </c>
      <c r="L3" s="2">
        <f>K3*C3</f>
        <v>-146.15</v>
      </c>
    </row>
    <row r="4" spans="1:12" x14ac:dyDescent="0.25">
      <c r="A4" s="8" t="s">
        <v>10</v>
      </c>
      <c r="B4" s="8" t="str">
        <f t="array" ref="B4:J4">_xll.qlDataRTDQuote(A4,,3)</f>
        <v>18.19</v>
      </c>
      <c r="C4" s="2" t="str">
        <v>0.08</v>
      </c>
      <c r="D4" s="2" t="str">
        <v>0.44%</v>
      </c>
      <c r="E4" s="8" t="str">
        <v>18.22</v>
      </c>
      <c r="F4" s="8" t="str">
        <v>18.24</v>
      </c>
      <c r="G4" s="8" t="str">
        <v>18.27</v>
      </c>
      <c r="H4" s="8" t="str">
        <v>18.47</v>
      </c>
      <c r="I4" s="8" t="str">
        <v>17.88</v>
      </c>
      <c r="J4" s="8" t="str">
        <v>22536575</v>
      </c>
      <c r="K4" s="8">
        <v>300</v>
      </c>
      <c r="L4" s="8">
        <f t="shared" ref="L4:L18" si="0">K4*C4</f>
        <v>24</v>
      </c>
    </row>
    <row r="5" spans="1:12" x14ac:dyDescent="0.25">
      <c r="A5" s="2" t="s">
        <v>25</v>
      </c>
      <c r="B5" s="2" t="str">
        <f t="array" ref="B5:J5">_xll.qlDataRTDQuote(A5,,3)</f>
        <v>26.08</v>
      </c>
      <c r="C5" s="2" t="str">
        <v>-0.10</v>
      </c>
      <c r="D5" s="2" t="str">
        <v>-0.38%</v>
      </c>
      <c r="E5" s="2" t="str">
        <v>26.00</v>
      </c>
      <c r="F5" s="2" t="str">
        <v>26.01</v>
      </c>
      <c r="G5" s="2" t="str">
        <v>26.00</v>
      </c>
      <c r="H5" s="2" t="str">
        <v>26.54</v>
      </c>
      <c r="I5" s="2" t="str">
        <v>25.69</v>
      </c>
      <c r="J5" s="2" t="str">
        <v>58776038</v>
      </c>
      <c r="K5" s="2">
        <v>200</v>
      </c>
      <c r="L5" s="2">
        <f t="shared" si="0"/>
        <v>-20</v>
      </c>
    </row>
    <row r="6" spans="1:12" x14ac:dyDescent="0.25">
      <c r="A6" s="8" t="s">
        <v>26</v>
      </c>
      <c r="B6" s="8" t="str">
        <f t="array" ref="B6:J6">_xll.qlDataRTDQuote(A6,,3)</f>
        <v>44.27</v>
      </c>
      <c r="C6" s="2" t="str">
        <v>-0.33</v>
      </c>
      <c r="D6" s="2" t="str">
        <v>-0.74%</v>
      </c>
      <c r="E6" s="8" t="str">
        <v>44.02</v>
      </c>
      <c r="F6" s="8" t="str">
        <v>44.08</v>
      </c>
      <c r="G6" s="8" t="str">
        <v>43.94</v>
      </c>
      <c r="H6" s="8" t="str">
        <v>45.78</v>
      </c>
      <c r="I6" s="8" t="str">
        <v>42.92</v>
      </c>
      <c r="J6" s="8" t="str">
        <v>25398156</v>
      </c>
      <c r="K6" s="8">
        <v>-343</v>
      </c>
      <c r="L6" s="8">
        <f t="shared" si="0"/>
        <v>113.19000000000001</v>
      </c>
    </row>
    <row r="7" spans="1:12" x14ac:dyDescent="0.25">
      <c r="A7" s="2" t="s">
        <v>12</v>
      </c>
      <c r="B7" s="2" t="str">
        <f t="array" ref="B7:J7">_xll.qlDataRTDQuote(A7,,3)</f>
        <v>101.33</v>
      </c>
      <c r="C7" s="2" t="str">
        <v>-1.17</v>
      </c>
      <c r="D7" s="2" t="str">
        <v>-1.14%</v>
      </c>
      <c r="E7" s="2" t="str">
        <v>101.54</v>
      </c>
      <c r="F7" s="2" t="str">
        <v>101.56</v>
      </c>
      <c r="G7" s="2" t="str">
        <v>102.82</v>
      </c>
      <c r="H7" s="2" t="str">
        <v>102.84</v>
      </c>
      <c r="I7" s="2" t="str">
        <v>101.20</v>
      </c>
      <c r="J7" s="2" t="str">
        <v>38910894</v>
      </c>
      <c r="K7" s="2">
        <v>-114</v>
      </c>
      <c r="L7" s="2">
        <f t="shared" si="0"/>
        <v>133.38</v>
      </c>
    </row>
    <row r="8" spans="1:12" x14ac:dyDescent="0.25">
      <c r="A8" s="8" t="s">
        <v>15</v>
      </c>
      <c r="B8" s="8" t="str">
        <f t="array" ref="B8:J8">_xll.qlDataRTDQuote(A8,,3)</f>
        <v>164.52</v>
      </c>
      <c r="C8" s="2" t="str">
        <v>-0.41</v>
      </c>
      <c r="D8" s="2" t="str">
        <v>-0.25%</v>
      </c>
      <c r="E8" s="8" t="str">
        <v>164.57</v>
      </c>
      <c r="F8" s="8" t="str">
        <v>164.75</v>
      </c>
      <c r="G8" s="8" t="str">
        <v>165.33</v>
      </c>
      <c r="H8" s="8" t="str">
        <v>165.45</v>
      </c>
      <c r="I8" s="8" t="str">
        <v>164.29</v>
      </c>
      <c r="J8" s="8" t="str">
        <v>5171638</v>
      </c>
      <c r="K8" s="8">
        <v>-61</v>
      </c>
      <c r="L8" s="8">
        <f t="shared" si="0"/>
        <v>25.009999999999998</v>
      </c>
    </row>
    <row r="9" spans="1:12" x14ac:dyDescent="0.25">
      <c r="A9" s="2" t="s">
        <v>7</v>
      </c>
      <c r="B9" s="2" t="str">
        <f t="array" ref="B9:J9">_xll.qlDataRTDQuote(A9,,3)</f>
        <v>118.29</v>
      </c>
      <c r="C9" s="2" t="str">
        <v>2.81</v>
      </c>
      <c r="D9" s="2" t="str">
        <v>2.43%</v>
      </c>
      <c r="E9" s="2" t="str">
        <v>117.53</v>
      </c>
      <c r="F9" s="2" t="str">
        <v>118.13</v>
      </c>
      <c r="G9" s="2" t="str">
        <v>115.30</v>
      </c>
      <c r="H9" s="2" t="str">
        <v>118.60</v>
      </c>
      <c r="I9" s="2" t="str">
        <v>115.29</v>
      </c>
      <c r="J9" s="2" t="str">
        <v>13577605</v>
      </c>
      <c r="K9" s="2">
        <v>1230</v>
      </c>
      <c r="L9" s="2">
        <f t="shared" si="0"/>
        <v>3456.3</v>
      </c>
    </row>
    <row r="10" spans="1:12" x14ac:dyDescent="0.25">
      <c r="A10" s="8" t="s">
        <v>27</v>
      </c>
      <c r="B10" s="8" t="str">
        <f t="array" ref="B10:J10">_xll.qlDataRTDQuote(A10,,3)</f>
        <v>8.66</v>
      </c>
      <c r="C10" s="2" t="str">
        <v>-0.12</v>
      </c>
      <c r="D10" s="2" t="str">
        <v>-1.37%</v>
      </c>
      <c r="E10" s="8" t="str">
        <v>8.72</v>
      </c>
      <c r="F10" s="8" t="str">
        <v>8.73</v>
      </c>
      <c r="G10" s="8" t="str">
        <v>9.03</v>
      </c>
      <c r="H10" s="8" t="str">
        <v>9.07</v>
      </c>
      <c r="I10" s="8" t="str">
        <v>8.65</v>
      </c>
      <c r="J10" s="8" t="str">
        <v>54267697</v>
      </c>
      <c r="K10" s="8">
        <v>-52</v>
      </c>
      <c r="L10" s="8">
        <f t="shared" si="0"/>
        <v>6.24</v>
      </c>
    </row>
    <row r="11" spans="1:12" x14ac:dyDescent="0.25">
      <c r="A11" s="2" t="s">
        <v>8</v>
      </c>
      <c r="B11" s="2" t="str">
        <f t="array" ref="B11:J11">_xll.qlDataRTDQuote(A11,,3)</f>
        <v>130.90</v>
      </c>
      <c r="C11" s="2" t="str">
        <v>1.59</v>
      </c>
      <c r="D11" s="2" t="str">
        <v>1.23%</v>
      </c>
      <c r="E11" s="2" t="str">
        <v>131.02</v>
      </c>
      <c r="F11" s="2" t="str">
        <v>131.17</v>
      </c>
      <c r="G11" s="2" t="str">
        <v>129.41</v>
      </c>
      <c r="H11" s="2" t="str">
        <v>131.00</v>
      </c>
      <c r="I11" s="2" t="str">
        <v>129.36</v>
      </c>
      <c r="J11" s="2" t="str">
        <v>10185548</v>
      </c>
      <c r="K11" s="2">
        <v>175</v>
      </c>
      <c r="L11" s="2">
        <f t="shared" si="0"/>
        <v>278.25</v>
      </c>
    </row>
    <row r="12" spans="1:12" x14ac:dyDescent="0.25">
      <c r="A12" s="8" t="s">
        <v>9</v>
      </c>
      <c r="B12" s="8" t="str">
        <f t="array" ref="B12:J12">_xll.qlDataRTDQuote(A12,,3)</f>
        <v>103.47</v>
      </c>
      <c r="C12" s="2" t="str">
        <v>-1.73</v>
      </c>
      <c r="D12" s="2" t="str">
        <v>-1.64%</v>
      </c>
      <c r="E12" s="8" t="str">
        <v>103.55</v>
      </c>
      <c r="F12" s="8" t="str">
        <v>103.70</v>
      </c>
      <c r="G12" s="8" t="str">
        <v>105.74</v>
      </c>
      <c r="H12" s="8" t="str">
        <v>106.00</v>
      </c>
      <c r="I12" s="8" t="str">
        <v>103.03</v>
      </c>
      <c r="J12" s="8" t="str">
        <v>29531763</v>
      </c>
      <c r="K12" s="8">
        <v>-410</v>
      </c>
      <c r="L12" s="8">
        <f t="shared" si="0"/>
        <v>709.3</v>
      </c>
    </row>
    <row r="13" spans="1:12" x14ac:dyDescent="0.25">
      <c r="A13" s="2" t="s">
        <v>11</v>
      </c>
      <c r="B13" s="2" t="str">
        <f t="array" ref="B13:J13">_xll.qlDataRTDQuote(A13,,3)</f>
        <v>166.77</v>
      </c>
      <c r="C13" s="2" t="str">
        <v>-1.91</v>
      </c>
      <c r="D13" s="2" t="str">
        <v>-1.13%</v>
      </c>
      <c r="E13" s="2" t="str">
        <v>166.77</v>
      </c>
      <c r="F13" s="2" t="str">
        <v>167.30</v>
      </c>
      <c r="G13" s="2" t="str">
        <v>172.90</v>
      </c>
      <c r="H13" s="2" t="str">
        <v>172.95</v>
      </c>
      <c r="I13" s="2" t="str">
        <v>164.77</v>
      </c>
      <c r="J13" s="2" t="str">
        <v>3882102</v>
      </c>
      <c r="K13" s="2">
        <v>-52</v>
      </c>
      <c r="L13" s="2">
        <f t="shared" si="0"/>
        <v>99.32</v>
      </c>
    </row>
    <row r="14" spans="1:12" x14ac:dyDescent="0.25">
      <c r="A14" s="8" t="s">
        <v>6</v>
      </c>
      <c r="B14" s="8" t="str">
        <f t="array" ref="B14:J14">_xll.qlDataRTDQuote(A14,,3)</f>
        <v>717.51</v>
      </c>
      <c r="C14" s="2" t="str">
        <v>-14.46</v>
      </c>
      <c r="D14" s="2" t="str">
        <v>-1.98%</v>
      </c>
      <c r="E14" s="8" t="str">
        <v>717.00</v>
      </c>
      <c r="F14" s="8" t="str">
        <v>720.10</v>
      </c>
      <c r="G14" s="8" t="str">
        <v>733.96</v>
      </c>
      <c r="H14" s="8" t="str">
        <v>736.00</v>
      </c>
      <c r="I14" s="8" t="str">
        <v>715.55</v>
      </c>
      <c r="J14" s="8" t="str">
        <v>2350415</v>
      </c>
      <c r="K14" s="8">
        <v>114</v>
      </c>
      <c r="L14" s="8">
        <f t="shared" si="0"/>
        <v>-1648.44</v>
      </c>
    </row>
    <row r="15" spans="1:12" x14ac:dyDescent="0.25">
      <c r="A15" s="2" t="s">
        <v>14</v>
      </c>
      <c r="B15" s="2" t="str">
        <f t="array" ref="B15:J15">_xll.qlDataRTDQuote(A15,,3)</f>
        <v>29.78</v>
      </c>
      <c r="C15" s="2" t="str">
        <v>-0.17</v>
      </c>
      <c r="D15" s="2" t="str">
        <v>-0.57%</v>
      </c>
      <c r="E15" s="2" t="str">
        <v>29.77</v>
      </c>
      <c r="F15" s="2" t="str">
        <v>29.85</v>
      </c>
      <c r="G15" s="2" t="str">
        <v>30.18</v>
      </c>
      <c r="H15" s="2" t="str">
        <v>30.21</v>
      </c>
      <c r="I15" s="2" t="str">
        <v>29.61</v>
      </c>
      <c r="J15" s="2" t="str">
        <v>9265629</v>
      </c>
      <c r="K15" s="2">
        <v>194</v>
      </c>
      <c r="L15" s="2">
        <f t="shared" si="0"/>
        <v>-32.980000000000004</v>
      </c>
    </row>
    <row r="16" spans="1:12" x14ac:dyDescent="0.25">
      <c r="A16" s="8" t="s">
        <v>0</v>
      </c>
      <c r="B16" s="8" t="str">
        <f t="array" ref="B16:J16">_xll.qlDataRTDQuote(A16,,3)</f>
        <v>96.26</v>
      </c>
      <c r="C16" s="2" t="str">
        <v>-1.86</v>
      </c>
      <c r="D16" s="2" t="str">
        <v>-1.90%</v>
      </c>
      <c r="E16" s="8" t="str">
        <v>96.27</v>
      </c>
      <c r="F16" s="8" t="str">
        <v>96.30</v>
      </c>
      <c r="G16" s="8" t="str">
        <v>98.75</v>
      </c>
      <c r="H16" s="8" t="str">
        <v>98.89</v>
      </c>
      <c r="I16" s="8" t="str">
        <v>96.09</v>
      </c>
      <c r="J16" s="8" t="str">
        <v>38857588</v>
      </c>
      <c r="K16" s="8">
        <v>-187</v>
      </c>
      <c r="L16" s="8">
        <f t="shared" si="0"/>
        <v>347.82</v>
      </c>
    </row>
    <row r="17" spans="1:12" x14ac:dyDescent="0.25">
      <c r="A17" s="2" t="s">
        <v>16</v>
      </c>
      <c r="B17" s="2" t="str">
        <f t="array" ref="B17:J17">_xll.qlDataRTDQuote(A17,,3)</f>
        <v>525.00</v>
      </c>
      <c r="C17" s="2" t="str">
        <v>-9.10</v>
      </c>
      <c r="D17" s="2" t="str">
        <v>-1.70%</v>
      </c>
      <c r="E17" s="2" t="str">
        <v>526.00</v>
      </c>
      <c r="F17" s="2" t="str">
        <v>527.50</v>
      </c>
      <c r="G17" s="2" t="str">
        <v>541.08</v>
      </c>
      <c r="H17" s="2" t="str">
        <v>541.20</v>
      </c>
      <c r="I17" s="2" t="str">
        <v>523.73</v>
      </c>
      <c r="J17" s="2" t="str">
        <v>4733125</v>
      </c>
      <c r="K17" s="2">
        <v>-200</v>
      </c>
      <c r="L17" s="2">
        <f t="shared" si="0"/>
        <v>1820</v>
      </c>
    </row>
    <row r="18" spans="1:12" x14ac:dyDescent="0.25">
      <c r="A18" s="8" t="s">
        <v>17</v>
      </c>
      <c r="B18" s="8" t="str">
        <f t="array" ref="B18:J18">_xll.qlDataRTDQuote(A18,,3)</f>
        <v>113.46</v>
      </c>
      <c r="C18" s="2" t="str">
        <v>2.45</v>
      </c>
      <c r="D18" s="2" t="str">
        <v>2.21%</v>
      </c>
      <c r="E18" s="8" t="str">
        <v>113.50</v>
      </c>
      <c r="F18" s="8" t="str">
        <v>113.65</v>
      </c>
      <c r="G18" s="8" t="str">
        <v>111.58</v>
      </c>
      <c r="H18" s="8" t="str">
        <v>115.55</v>
      </c>
      <c r="I18" s="8" t="str">
        <v>108.81</v>
      </c>
      <c r="J18" s="8" t="str">
        <v>5339195</v>
      </c>
      <c r="K18" s="8">
        <v>300</v>
      </c>
      <c r="L18" s="8">
        <f t="shared" si="0"/>
        <v>735</v>
      </c>
    </row>
    <row r="19" spans="1:12" x14ac:dyDescent="0.25">
      <c r="A19" s="9" t="s">
        <v>28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2">
        <f>SUM(L3:L18)</f>
        <v>5900.24</v>
      </c>
    </row>
    <row r="20" spans="1:12" x14ac:dyDescent="0.25">
      <c r="A20" s="11" t="s">
        <v>30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2">
        <f>SUMIF(L3:L18,"&gt;0",L3:L18)</f>
        <v>7747.8099999999995</v>
      </c>
    </row>
    <row r="21" spans="1:12" x14ac:dyDescent="0.25">
      <c r="A21" s="11" t="s">
        <v>31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2">
        <f>SUMIF(L3:L18,"&lt;0",L3:L18)</f>
        <v>-1847.5700000000002</v>
      </c>
    </row>
  </sheetData>
  <autoFilter ref="A2:J2"/>
  <conditionalFormatting sqref="C3:C18">
    <cfRule type="expression" dxfId="5" priority="13">
      <formula>LEFT(C3,1)&lt;&gt;"-"</formula>
    </cfRule>
    <cfRule type="expression" dxfId="4" priority="14">
      <formula>LEFT(C3,1)="-"</formula>
    </cfRule>
  </conditionalFormatting>
  <conditionalFormatting sqref="D3:D18">
    <cfRule type="expression" dxfId="3" priority="7">
      <formula>LEFT(D3,1)&lt;&gt;"-"</formula>
    </cfRule>
    <cfRule type="expression" dxfId="2" priority="8">
      <formula>LEFT(D3,1)="-"</formula>
    </cfRule>
  </conditionalFormatting>
  <conditionalFormatting sqref="L19:L21">
    <cfRule type="expression" dxfId="1" priority="1">
      <formula>LEFT(L19,1)&lt;&gt;"-"</formula>
    </cfRule>
    <cfRule type="expression" dxfId="0" priority="2">
      <formula>LEFT(L19,1)="-"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6"/>
  <sheetViews>
    <sheetView workbookViewId="0">
      <selection activeCell="M6" sqref="M6"/>
    </sheetView>
  </sheetViews>
  <sheetFormatPr defaultRowHeight="15" x14ac:dyDescent="0.25"/>
  <cols>
    <col min="1" max="1" width="10.7109375" style="19" bestFit="1" customWidth="1"/>
    <col min="9" max="9" width="13.7109375" customWidth="1"/>
    <col min="10" max="10" width="12" customWidth="1"/>
  </cols>
  <sheetData>
    <row r="1" spans="1:10" x14ac:dyDescent="0.25">
      <c r="A1" s="19" t="s">
        <v>37</v>
      </c>
      <c r="B1" t="s">
        <v>24</v>
      </c>
      <c r="C1" t="s">
        <v>20</v>
      </c>
      <c r="D1" t="s">
        <v>21</v>
      </c>
      <c r="E1" t="s">
        <v>38</v>
      </c>
      <c r="F1" t="s">
        <v>22</v>
      </c>
      <c r="G1" t="s">
        <v>39</v>
      </c>
      <c r="I1" s="12" t="s">
        <v>32</v>
      </c>
      <c r="J1" s="15" t="s">
        <v>13</v>
      </c>
    </row>
    <row r="2" spans="1:10" x14ac:dyDescent="0.25">
      <c r="A2" s="19">
        <v>42396</v>
      </c>
      <c r="B2">
        <v>189.58000200000001</v>
      </c>
      <c r="C2">
        <v>191.55999800000001</v>
      </c>
      <c r="D2">
        <v>187.05999800000001</v>
      </c>
      <c r="E2">
        <v>188.13000500000001</v>
      </c>
      <c r="F2">
        <v>181677100</v>
      </c>
      <c r="G2">
        <v>188.13000500000001</v>
      </c>
      <c r="I2" s="13" t="s">
        <v>33</v>
      </c>
      <c r="J2" s="18">
        <f ca="1">J3-22</f>
        <v>42396</v>
      </c>
    </row>
    <row r="3" spans="1:10" x14ac:dyDescent="0.25">
      <c r="A3" s="19">
        <v>42397</v>
      </c>
      <c r="B3">
        <v>189.96000699999999</v>
      </c>
      <c r="C3">
        <v>190.199997</v>
      </c>
      <c r="D3">
        <v>187.16000399999999</v>
      </c>
      <c r="E3">
        <v>189.11000100000001</v>
      </c>
      <c r="F3">
        <v>139970600</v>
      </c>
      <c r="G3">
        <v>189.11000100000001</v>
      </c>
      <c r="I3" s="13" t="s">
        <v>34</v>
      </c>
      <c r="J3" s="18">
        <f ca="1">TODAY()</f>
        <v>42418</v>
      </c>
    </row>
    <row r="4" spans="1:10" x14ac:dyDescent="0.25">
      <c r="A4" s="19">
        <v>42398</v>
      </c>
      <c r="B4">
        <v>190.020004</v>
      </c>
      <c r="C4">
        <v>193.88000500000001</v>
      </c>
      <c r="D4">
        <v>189.88000500000001</v>
      </c>
      <c r="E4">
        <v>193.720001</v>
      </c>
      <c r="F4">
        <v>195455400</v>
      </c>
      <c r="G4">
        <v>193.720001</v>
      </c>
      <c r="I4" s="13" t="s">
        <v>35</v>
      </c>
      <c r="J4" s="16" t="s">
        <v>40</v>
      </c>
    </row>
    <row r="5" spans="1:10" ht="15.75" thickBot="1" x14ac:dyDescent="0.3">
      <c r="A5" s="19">
        <v>42401</v>
      </c>
      <c r="B5">
        <v>192.529999</v>
      </c>
      <c r="C5">
        <v>194.58000200000001</v>
      </c>
      <c r="D5">
        <v>191.83999600000001</v>
      </c>
      <c r="E5">
        <v>193.64999399999999</v>
      </c>
      <c r="F5">
        <v>130514800</v>
      </c>
      <c r="G5">
        <v>193.64999399999999</v>
      </c>
      <c r="I5" s="14" t="s">
        <v>36</v>
      </c>
      <c r="J5" s="17" t="b">
        <v>0</v>
      </c>
    </row>
    <row r="6" spans="1:10" x14ac:dyDescent="0.25">
      <c r="A6" s="19">
        <v>42402</v>
      </c>
      <c r="B6">
        <v>191.96000699999999</v>
      </c>
      <c r="C6">
        <v>191.970001</v>
      </c>
      <c r="D6">
        <v>189.53999300000001</v>
      </c>
      <c r="E6">
        <v>190.16000399999999</v>
      </c>
      <c r="F6">
        <v>172941200</v>
      </c>
      <c r="G6">
        <v>190.16000399999999</v>
      </c>
    </row>
    <row r="7" spans="1:10" x14ac:dyDescent="0.25">
      <c r="A7" s="19">
        <v>42403</v>
      </c>
      <c r="B7">
        <v>191.41000399999999</v>
      </c>
      <c r="C7">
        <v>191.779999</v>
      </c>
      <c r="D7">
        <v>187.10000600000001</v>
      </c>
      <c r="E7">
        <v>191.300003</v>
      </c>
      <c r="F7">
        <v>203820400</v>
      </c>
      <c r="G7">
        <v>191.300003</v>
      </c>
    </row>
    <row r="8" spans="1:10" x14ac:dyDescent="0.25">
      <c r="A8" s="19">
        <v>42404</v>
      </c>
      <c r="B8">
        <v>190.71000699999999</v>
      </c>
      <c r="C8">
        <v>192.75</v>
      </c>
      <c r="D8">
        <v>189.96000699999999</v>
      </c>
      <c r="E8">
        <v>191.60000600000001</v>
      </c>
      <c r="F8">
        <v>136318100</v>
      </c>
      <c r="G8">
        <v>191.60000600000001</v>
      </c>
    </row>
    <row r="9" spans="1:10" x14ac:dyDescent="0.25">
      <c r="A9" s="19">
        <v>42405</v>
      </c>
      <c r="B9">
        <v>190.990005</v>
      </c>
      <c r="C9">
        <v>191.66999799999999</v>
      </c>
      <c r="D9">
        <v>187.199997</v>
      </c>
      <c r="E9">
        <v>187.949997</v>
      </c>
      <c r="F9">
        <v>172668500</v>
      </c>
      <c r="G9">
        <v>187.949997</v>
      </c>
    </row>
    <row r="10" spans="1:10" x14ac:dyDescent="0.25">
      <c r="A10" s="19">
        <v>42408</v>
      </c>
      <c r="B10">
        <v>185.770004</v>
      </c>
      <c r="C10">
        <v>186.11999499999999</v>
      </c>
      <c r="D10">
        <v>182.800003</v>
      </c>
      <c r="E10">
        <v>185.41999799999999</v>
      </c>
      <c r="F10">
        <v>185762900</v>
      </c>
      <c r="G10">
        <v>185.41999799999999</v>
      </c>
    </row>
    <row r="11" spans="1:10" x14ac:dyDescent="0.25">
      <c r="A11" s="19">
        <v>42409</v>
      </c>
      <c r="B11">
        <v>183.36000100000001</v>
      </c>
      <c r="C11">
        <v>186.94000199999999</v>
      </c>
      <c r="D11">
        <v>183.199997</v>
      </c>
      <c r="E11">
        <v>185.429993</v>
      </c>
      <c r="F11">
        <v>176478700</v>
      </c>
      <c r="G11">
        <v>185.429993</v>
      </c>
    </row>
    <row r="12" spans="1:10" x14ac:dyDescent="0.25">
      <c r="A12" s="19">
        <v>42410</v>
      </c>
      <c r="B12">
        <v>186.41000399999999</v>
      </c>
      <c r="C12">
        <v>188.33999600000001</v>
      </c>
      <c r="D12">
        <v>185.11999499999999</v>
      </c>
      <c r="E12">
        <v>185.270004</v>
      </c>
      <c r="F12">
        <v>145851100</v>
      </c>
      <c r="G12">
        <v>185.270004</v>
      </c>
    </row>
    <row r="13" spans="1:10" x14ac:dyDescent="0.25">
      <c r="A13" s="19">
        <v>42411</v>
      </c>
      <c r="B13">
        <v>182.33999600000001</v>
      </c>
      <c r="C13">
        <v>184.10000600000001</v>
      </c>
      <c r="D13">
        <v>181.08999600000001</v>
      </c>
      <c r="E13">
        <v>182.86000100000001</v>
      </c>
      <c r="F13">
        <v>210592800</v>
      </c>
      <c r="G13">
        <v>182.86000100000001</v>
      </c>
    </row>
    <row r="14" spans="1:10" x14ac:dyDescent="0.25">
      <c r="A14" s="19">
        <v>42412</v>
      </c>
      <c r="B14">
        <v>184.96000699999999</v>
      </c>
      <c r="C14">
        <v>186.64999399999999</v>
      </c>
      <c r="D14">
        <v>183.96000699999999</v>
      </c>
      <c r="E14">
        <v>186.63000500000001</v>
      </c>
      <c r="F14">
        <v>124459300</v>
      </c>
      <c r="G14">
        <v>186.63000500000001</v>
      </c>
    </row>
    <row r="15" spans="1:10" x14ac:dyDescent="0.25">
      <c r="A15" s="19">
        <v>42416</v>
      </c>
      <c r="B15">
        <v>188.770004</v>
      </c>
      <c r="C15">
        <v>189.80999800000001</v>
      </c>
      <c r="D15">
        <v>187.63000500000001</v>
      </c>
      <c r="E15">
        <v>189.779999</v>
      </c>
      <c r="F15">
        <v>112124300</v>
      </c>
      <c r="G15">
        <v>189.779999</v>
      </c>
    </row>
    <row r="16" spans="1:10" x14ac:dyDescent="0.25">
      <c r="A16" s="19">
        <v>42417</v>
      </c>
      <c r="B16">
        <v>191.16000399999999</v>
      </c>
      <c r="C16">
        <v>193.320007</v>
      </c>
      <c r="D16">
        <v>191.009995</v>
      </c>
      <c r="E16">
        <v>192.88000500000001</v>
      </c>
      <c r="F16">
        <v>131884500</v>
      </c>
      <c r="G16">
        <v>192.88000500000001</v>
      </c>
    </row>
  </sheetData>
  <dataValidations count="2">
    <dataValidation type="list" allowBlank="1" showInputMessage="1" showErrorMessage="1" sqref="J5">
      <formula1>"TRUE,FALSE"</formula1>
    </dataValidation>
    <dataValidation type="list" allowBlank="1" showInputMessage="1" showErrorMessage="1" sqref="J4">
      <formula1>"d,w,m"</formula1>
    </dataValidation>
  </dataValidations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rieveHistData">
                <anchor moveWithCells="1" sizeWithCells="1">
                  <from>
                    <xdr:col>8</xdr:col>
                    <xdr:colOff>38100</xdr:colOff>
                    <xdr:row>6</xdr:row>
                    <xdr:rowOff>38100</xdr:rowOff>
                  </from>
                  <to>
                    <xdr:col>9</xdr:col>
                    <xdr:colOff>742950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Live</vt:lpstr>
      <vt:lpstr>Historical</vt:lpstr>
    </vt:vector>
  </TitlesOfParts>
  <Company>Exelon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Wang, Letian:(Constellation)</dc:creator>
  <cp:lastModifiedBy>Letian</cp:lastModifiedBy>
  <dcterms:created xsi:type="dcterms:W3CDTF">2015-06-12T13:38:21Z</dcterms:created>
  <dcterms:modified xsi:type="dcterms:W3CDTF">2016-02-18T22:23:54Z</dcterms:modified>
</cp:coreProperties>
</file>