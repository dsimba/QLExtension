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etian\QLExtension\Output\Workbooks\"/>
    </mc:Choice>
  </mc:AlternateContent>
  <bookViews>
    <workbookView xWindow="480" yWindow="315" windowWidth="14355" windowHeight="7755" activeTab="1"/>
  </bookViews>
  <sheets>
    <sheet name="USD" sheetId="7" r:id="rId1"/>
    <sheet name="USDValidation" sheetId="8" r:id="rId2"/>
  </sheets>
  <functionGroups builtInGroupCount="18"/>
  <definedNames>
    <definedName name="USDLIB12M_RHs">USD!$L$121:$Q$133</definedName>
    <definedName name="USDLIB1M_RHs">USD!$L$81:$Q$97</definedName>
    <definedName name="USDLIB3M_RHs">USD!$L$34:$Q$75</definedName>
    <definedName name="USDLIB6M_RHs">USD!$L$103:$Q$115</definedName>
    <definedName name="USDOIS_RHs">USD!$L$3:$Q$28</definedName>
  </definedNames>
  <calcPr calcId="152511"/>
</workbook>
</file>

<file path=xl/calcChain.xml><?xml version="1.0" encoding="utf-8"?>
<calcChain xmlns="http://schemas.openxmlformats.org/spreadsheetml/2006/main">
  <c r="O13" i="8" l="1"/>
  <c r="O3" i="8"/>
  <c r="O33" i="8"/>
  <c r="O35" i="8"/>
  <c r="D54" i="8" l="1"/>
  <c r="B68" i="8"/>
  <c r="B69" i="8"/>
  <c r="B70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54" i="8"/>
  <c r="L75" i="7"/>
  <c r="L60" i="7"/>
  <c r="L59" i="7"/>
  <c r="L58" i="7"/>
  <c r="L28" i="7"/>
  <c r="E54" i="8"/>
  <c r="H54" i="8"/>
  <c r="E63" i="8"/>
  <c r="E67" i="8"/>
  <c r="E57" i="8"/>
  <c r="E62" i="8"/>
  <c r="E55" i="8"/>
  <c r="E56" i="8"/>
  <c r="E66" i="8"/>
  <c r="B39" i="7"/>
  <c r="B2" i="7"/>
  <c r="E61" i="8"/>
  <c r="E58" i="8"/>
  <c r="E59" i="8"/>
  <c r="E65" i="8"/>
  <c r="C49" i="8" l="1"/>
  <c r="C50" i="8"/>
  <c r="B3" i="7"/>
  <c r="E64" i="8"/>
  <c r="B42" i="7"/>
  <c r="B43" i="7"/>
  <c r="B44" i="7" s="1"/>
  <c r="B45" i="7"/>
  <c r="A45" i="7" s="1"/>
  <c r="A43" i="7"/>
  <c r="E60" i="8"/>
  <c r="A42" i="7"/>
  <c r="A44" i="7"/>
  <c r="B46" i="7"/>
  <c r="B47" i="7"/>
  <c r="A46" i="7"/>
  <c r="B48" i="7"/>
  <c r="A47" i="7"/>
  <c r="A48" i="7"/>
  <c r="B49" i="7"/>
  <c r="B50" i="7"/>
  <c r="A49" i="7"/>
  <c r="A50" i="7"/>
  <c r="B51" i="7"/>
  <c r="B52" i="7"/>
  <c r="A51" i="7"/>
  <c r="B53" i="7"/>
  <c r="A52" i="7"/>
  <c r="B54" i="7"/>
  <c r="A53" i="7"/>
  <c r="A54" i="7"/>
  <c r="B55" i="7"/>
  <c r="A55" i="7"/>
  <c r="B56" i="7"/>
  <c r="A56" i="7"/>
  <c r="B57" i="7"/>
  <c r="B21" i="8" l="1"/>
  <c r="B22" i="8"/>
  <c r="B23" i="8"/>
  <c r="B24" i="8"/>
  <c r="B25" i="8"/>
  <c r="B13" i="8"/>
  <c r="B14" i="8"/>
  <c r="B15" i="8"/>
  <c r="B16" i="8"/>
  <c r="B17" i="8"/>
  <c r="B18" i="8"/>
  <c r="B19" i="8"/>
  <c r="B20" i="8"/>
  <c r="B2" i="8"/>
  <c r="B3" i="8"/>
  <c r="B4" i="8"/>
  <c r="B5" i="8"/>
  <c r="B6" i="8"/>
  <c r="B7" i="8"/>
  <c r="B8" i="8"/>
  <c r="B9" i="8"/>
  <c r="B10" i="8"/>
  <c r="B11" i="8"/>
  <c r="B12" i="8"/>
  <c r="A57" i="7"/>
  <c r="J1" i="8" l="1"/>
  <c r="O10" i="8" s="1"/>
  <c r="H81" i="7"/>
  <c r="C35" i="8" l="1"/>
  <c r="C34" i="8"/>
  <c r="C32" i="8"/>
  <c r="L33" i="7"/>
  <c r="H110" i="7" l="1"/>
  <c r="H105" i="7"/>
  <c r="H115" i="7"/>
  <c r="H114" i="7"/>
  <c r="H113" i="7"/>
  <c r="H112" i="7"/>
  <c r="H111" i="7"/>
  <c r="H109" i="7"/>
  <c r="H108" i="7"/>
  <c r="H107" i="7"/>
  <c r="H106" i="7"/>
  <c r="H104" i="7"/>
  <c r="H103" i="7"/>
  <c r="H129" i="7"/>
  <c r="H124" i="7"/>
  <c r="H133" i="7"/>
  <c r="H132" i="7"/>
  <c r="H131" i="7"/>
  <c r="H130" i="7"/>
  <c r="H128" i="7"/>
  <c r="H127" i="7"/>
  <c r="H126" i="7"/>
  <c r="H125" i="7"/>
  <c r="H123" i="7"/>
  <c r="H122" i="7"/>
  <c r="H121" i="7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I75" i="7"/>
  <c r="I74" i="7"/>
  <c r="I73" i="7"/>
  <c r="I72" i="7"/>
  <c r="I71" i="7"/>
  <c r="I70" i="7"/>
  <c r="I69" i="7"/>
  <c r="I68" i="7"/>
  <c r="I67" i="7"/>
  <c r="I66" i="7"/>
  <c r="I65" i="7"/>
  <c r="I64" i="7"/>
  <c r="I63" i="7"/>
  <c r="I62" i="7"/>
  <c r="I61" i="7"/>
  <c r="I60" i="7"/>
  <c r="I59" i="7"/>
  <c r="I58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42" i="7"/>
  <c r="I57" i="7"/>
  <c r="I56" i="7"/>
  <c r="I55" i="7"/>
  <c r="I54" i="7"/>
  <c r="I53" i="7"/>
  <c r="I52" i="7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L121" i="7"/>
  <c r="L64" i="7"/>
  <c r="L71" i="7"/>
  <c r="L61" i="7"/>
  <c r="L72" i="7"/>
  <c r="C261" i="8"/>
  <c r="L63" i="7"/>
  <c r="L69" i="7"/>
  <c r="J27" i="8"/>
  <c r="C259" i="8"/>
  <c r="L66" i="7"/>
  <c r="C263" i="8"/>
  <c r="L67" i="7"/>
  <c r="L70" i="7"/>
  <c r="L65" i="7"/>
  <c r="L74" i="7"/>
  <c r="L62" i="7"/>
  <c r="L73" i="7"/>
  <c r="L68" i="7"/>
  <c r="L39" i="7"/>
  <c r="G261" i="8" l="1"/>
  <c r="H22" i="7"/>
  <c r="H25" i="7"/>
  <c r="H3" i="7"/>
  <c r="H8" i="7"/>
  <c r="H19" i="7"/>
  <c r="H27" i="7"/>
  <c r="H11" i="7"/>
  <c r="H26" i="7"/>
  <c r="H20" i="7"/>
  <c r="H13" i="7"/>
  <c r="H4" i="7"/>
  <c r="H7" i="7"/>
  <c r="H14" i="7"/>
  <c r="H6" i="7"/>
  <c r="H5" i="7"/>
  <c r="H23" i="7"/>
  <c r="H9" i="7"/>
  <c r="H18" i="7"/>
  <c r="H17" i="7"/>
  <c r="H12" i="7"/>
  <c r="H24" i="7"/>
  <c r="H15" i="7"/>
  <c r="H10" i="7"/>
  <c r="H21" i="7"/>
  <c r="H16" i="7"/>
  <c r="L9" i="7"/>
  <c r="C264" i="8"/>
  <c r="L10" i="7"/>
  <c r="C260" i="8"/>
  <c r="L25" i="7"/>
  <c r="L12" i="7"/>
  <c r="L3" i="7"/>
  <c r="L17" i="7"/>
  <c r="L8" i="7"/>
  <c r="L21" i="7"/>
  <c r="L23" i="7"/>
  <c r="L18" i="7"/>
  <c r="L16" i="7"/>
  <c r="L11" i="7"/>
  <c r="L7" i="7"/>
  <c r="L6" i="7"/>
  <c r="L20" i="7"/>
  <c r="L19" i="7"/>
  <c r="L15" i="7"/>
  <c r="L22" i="7"/>
  <c r="L27" i="7"/>
  <c r="L13" i="7"/>
  <c r="L24" i="7"/>
  <c r="L26" i="7"/>
  <c r="L5" i="7"/>
  <c r="L14" i="7"/>
  <c r="C262" i="8"/>
  <c r="L4" i="7"/>
  <c r="C8" i="8" l="1"/>
  <c r="C3" i="8"/>
  <c r="C2" i="8"/>
  <c r="C9" i="8"/>
  <c r="C13" i="8"/>
  <c r="C16" i="8"/>
  <c r="C4" i="8"/>
  <c r="C11" i="8"/>
  <c r="C25" i="8"/>
  <c r="C23" i="8"/>
  <c r="C15" i="8"/>
  <c r="C14" i="8"/>
  <c r="C22" i="8"/>
  <c r="C7" i="8"/>
  <c r="C12" i="8"/>
  <c r="C18" i="8"/>
  <c r="C17" i="8"/>
  <c r="C20" i="8"/>
  <c r="C19" i="8"/>
  <c r="C10" i="8"/>
  <c r="C21" i="8"/>
  <c r="C5" i="8"/>
  <c r="C24" i="8"/>
  <c r="C6" i="8"/>
  <c r="G260" i="8"/>
  <c r="D42" i="7"/>
  <c r="C42" i="7"/>
  <c r="E42" i="7"/>
  <c r="L42" i="7"/>
  <c r="O2" i="7"/>
  <c r="Q2" i="7" s="1"/>
  <c r="N3" i="7" a="1"/>
  <c r="D15" i="8"/>
  <c r="D5" i="8"/>
  <c r="D11" i="8"/>
  <c r="D17" i="8"/>
  <c r="D13" i="8"/>
  <c r="D12" i="8"/>
  <c r="D14" i="8"/>
  <c r="D2" i="8"/>
  <c r="D7" i="8"/>
  <c r="D19" i="8"/>
  <c r="D10" i="8"/>
  <c r="D4" i="8"/>
  <c r="D20" i="8"/>
  <c r="D24" i="8"/>
  <c r="D21" i="8"/>
  <c r="D25" i="8"/>
  <c r="D18" i="8"/>
  <c r="D22" i="8"/>
  <c r="D6" i="8"/>
  <c r="D3" i="8"/>
  <c r="D16" i="8"/>
  <c r="D9" i="8"/>
  <c r="D23" i="8"/>
  <c r="D8" i="8"/>
  <c r="N27" i="7" l="1"/>
  <c r="Q27" i="7" s="1"/>
  <c r="N4" i="7"/>
  <c r="Q4" i="7" s="1"/>
  <c r="O10" i="7"/>
  <c r="N13" i="7"/>
  <c r="Q13" i="7" s="1"/>
  <c r="O17" i="7"/>
  <c r="N22" i="7"/>
  <c r="Q22" i="7" s="1"/>
  <c r="O28" i="7"/>
  <c r="O3" i="7"/>
  <c r="N8" i="7"/>
  <c r="Q8" i="7" s="1"/>
  <c r="O14" i="7"/>
  <c r="N25" i="7"/>
  <c r="Q25" i="7" s="1"/>
  <c r="O29" i="7"/>
  <c r="O8" i="7"/>
  <c r="N3" i="7"/>
  <c r="Q3" i="7" s="1"/>
  <c r="O7" i="7"/>
  <c r="S7" i="7" s="1"/>
  <c r="N12" i="7"/>
  <c r="Q12" i="7" s="1"/>
  <c r="O18" i="7"/>
  <c r="N21" i="7"/>
  <c r="Q21" i="7" s="1"/>
  <c r="O25" i="7"/>
  <c r="O4" i="7"/>
  <c r="N7" i="7"/>
  <c r="Q7" i="7" s="1"/>
  <c r="O11" i="7"/>
  <c r="N16" i="7"/>
  <c r="Q16" i="7" s="1"/>
  <c r="O22" i="7"/>
  <c r="O5" i="7"/>
  <c r="N10" i="7"/>
  <c r="Q10" i="7" s="1"/>
  <c r="O16" i="7"/>
  <c r="N11" i="7"/>
  <c r="Q11" i="7" s="1"/>
  <c r="O15" i="7"/>
  <c r="N20" i="7"/>
  <c r="Q20" i="7" s="1"/>
  <c r="O26" i="7"/>
  <c r="N29" i="7"/>
  <c r="N6" i="7"/>
  <c r="Q6" i="7" s="1"/>
  <c r="O12" i="7"/>
  <c r="N15" i="7"/>
  <c r="Q15" i="7" s="1"/>
  <c r="O19" i="7"/>
  <c r="N24" i="7"/>
  <c r="Q24" i="7" s="1"/>
  <c r="N9" i="7"/>
  <c r="Q9" i="7" s="1"/>
  <c r="O13" i="7"/>
  <c r="N18" i="7"/>
  <c r="Q18" i="7" s="1"/>
  <c r="O24" i="7"/>
  <c r="N19" i="7"/>
  <c r="Q19" i="7" s="1"/>
  <c r="O23" i="7"/>
  <c r="N28" i="7"/>
  <c r="Q28" i="7" s="1"/>
  <c r="N5" i="7"/>
  <c r="Q5" i="7" s="1"/>
  <c r="O9" i="7"/>
  <c r="N14" i="7"/>
  <c r="Q14" i="7" s="1"/>
  <c r="O20" i="7"/>
  <c r="N23" i="7"/>
  <c r="Q23" i="7" s="1"/>
  <c r="O27" i="7"/>
  <c r="O6" i="7"/>
  <c r="N17" i="7"/>
  <c r="Q17" i="7" s="1"/>
  <c r="O21" i="7"/>
  <c r="N26" i="7"/>
  <c r="Q26" i="7" s="1"/>
  <c r="G262" i="8"/>
  <c r="G263" i="8"/>
  <c r="C43" i="7"/>
  <c r="D43" i="7"/>
  <c r="E17" i="8"/>
  <c r="E7" i="8"/>
  <c r="E20" i="8"/>
  <c r="E43" i="7"/>
  <c r="E3" i="8"/>
  <c r="E2" i="8"/>
  <c r="E12" i="8"/>
  <c r="E5" i="8"/>
  <c r="E10" i="8"/>
  <c r="E6" i="8"/>
  <c r="E14" i="8"/>
  <c r="E22" i="8"/>
  <c r="E9" i="8"/>
  <c r="E24" i="8"/>
  <c r="E16" i="8"/>
  <c r="E13" i="8"/>
  <c r="E15" i="8"/>
  <c r="E4" i="8"/>
  <c r="E23" i="8"/>
  <c r="E21" i="8"/>
  <c r="L43" i="7"/>
  <c r="E8" i="8"/>
  <c r="E25" i="8"/>
  <c r="E11" i="8"/>
  <c r="E19" i="8"/>
  <c r="E18" i="8"/>
  <c r="F8" i="8" l="1"/>
  <c r="G8" i="8" s="1"/>
  <c r="F9" i="8"/>
  <c r="G9" i="8" s="1"/>
  <c r="F16" i="8"/>
  <c r="G16" i="8" s="1"/>
  <c r="F3" i="8"/>
  <c r="G3" i="8" s="1"/>
  <c r="F22" i="8"/>
  <c r="G22" i="8" s="1"/>
  <c r="F18" i="8"/>
  <c r="G18" i="8" s="1"/>
  <c r="F25" i="8"/>
  <c r="G25" i="8" s="1"/>
  <c r="F21" i="8"/>
  <c r="G21" i="8" s="1"/>
  <c r="F14" i="8"/>
  <c r="G14" i="8" s="1"/>
  <c r="F2" i="8"/>
  <c r="G2" i="8" s="1"/>
  <c r="F23" i="8"/>
  <c r="G23" i="8" s="1"/>
  <c r="F6" i="8"/>
  <c r="G6" i="8" s="1"/>
  <c r="F24" i="8"/>
  <c r="G24" i="8" s="1"/>
  <c r="F20" i="8"/>
  <c r="G20" i="8" s="1"/>
  <c r="F4" i="8"/>
  <c r="G4" i="8" s="1"/>
  <c r="F10" i="8"/>
  <c r="G10" i="8" s="1"/>
  <c r="F19" i="8"/>
  <c r="G19" i="8" s="1"/>
  <c r="F7" i="8"/>
  <c r="G7" i="8" s="1"/>
  <c r="F15" i="8"/>
  <c r="G15" i="8" s="1"/>
  <c r="F5" i="8"/>
  <c r="G5" i="8" s="1"/>
  <c r="F11" i="8"/>
  <c r="G11" i="8" s="1"/>
  <c r="F17" i="8"/>
  <c r="G17" i="8" s="1"/>
  <c r="F13" i="8"/>
  <c r="G13" i="8" s="1"/>
  <c r="F12" i="8"/>
  <c r="G12" i="8" s="1"/>
  <c r="G264" i="8"/>
  <c r="C44" i="7"/>
  <c r="D44" i="7"/>
  <c r="D45" i="7"/>
  <c r="C45" i="7"/>
  <c r="E44" i="7"/>
  <c r="L44" i="7"/>
  <c r="L45" i="7"/>
  <c r="E45" i="7"/>
  <c r="C49" i="7" l="1"/>
  <c r="D49" i="7"/>
  <c r="E49" i="7"/>
  <c r="L49" i="7"/>
  <c r="D48" i="7" l="1"/>
  <c r="C48" i="7"/>
  <c r="D46" i="7"/>
  <c r="C46" i="7"/>
  <c r="C47" i="7"/>
  <c r="D47" i="7"/>
  <c r="C51" i="7"/>
  <c r="D51" i="7"/>
  <c r="C50" i="7"/>
  <c r="D50" i="7"/>
  <c r="L48" i="7"/>
  <c r="E48" i="7"/>
  <c r="L47" i="7"/>
  <c r="E46" i="7"/>
  <c r="E51" i="7"/>
  <c r="L51" i="7"/>
  <c r="L46" i="7"/>
  <c r="E50" i="7"/>
  <c r="E47" i="7"/>
  <c r="L50" i="7"/>
  <c r="D52" i="7" l="1"/>
  <c r="C52" i="7"/>
  <c r="E52" i="7"/>
  <c r="L52" i="7"/>
  <c r="C53" i="7" l="1"/>
  <c r="D53" i="7"/>
  <c r="E53" i="7"/>
  <c r="L53" i="7"/>
  <c r="C54" i="7" l="1"/>
  <c r="D54" i="7"/>
  <c r="D55" i="7"/>
  <c r="C55" i="7"/>
  <c r="E55" i="7"/>
  <c r="E54" i="7"/>
  <c r="L55" i="7"/>
  <c r="L54" i="7"/>
  <c r="C56" i="7" l="1"/>
  <c r="D56" i="7"/>
  <c r="L56" i="7"/>
  <c r="E56" i="7"/>
  <c r="C57" i="7" l="1"/>
  <c r="D57" i="7"/>
  <c r="E57" i="7"/>
  <c r="L57" i="7"/>
  <c r="O33" i="7"/>
  <c r="Q33" i="7"/>
  <c r="D48" i="8"/>
  <c r="E48" i="8" s="1"/>
  <c r="D34" i="8"/>
  <c r="D35" i="8"/>
  <c r="E35" i="8" s="1"/>
  <c r="D37" i="8"/>
  <c r="D39" i="8"/>
  <c r="E39" i="8" s="1"/>
  <c r="D40" i="8"/>
  <c r="D47" i="8"/>
  <c r="E47" i="8" s="1"/>
  <c r="D50" i="8"/>
  <c r="D44" i="8"/>
  <c r="E44" i="8" s="1"/>
  <c r="D45" i="8"/>
  <c r="E45" i="8" s="1"/>
  <c r="D49" i="8"/>
  <c r="D43" i="8"/>
  <c r="D32" i="8"/>
  <c r="E32" i="8" s="1"/>
  <c r="D46" i="8"/>
  <c r="D41" i="8"/>
  <c r="D38" i="8"/>
  <c r="D42" i="8"/>
  <c r="E42" i="8" s="1"/>
  <c r="D36" i="8"/>
  <c r="E36" i="8" s="1"/>
  <c r="D28" i="8"/>
  <c r="E28" i="8" s="1"/>
  <c r="D30" i="8"/>
  <c r="E30" i="8" s="1"/>
  <c r="D33" i="8"/>
  <c r="E33" i="8" s="1"/>
  <c r="D31" i="8"/>
  <c r="E31" i="8" s="1"/>
  <c r="D29" i="8"/>
  <c r="E29" i="8" s="1"/>
  <c r="I81" i="7" l="1"/>
  <c r="I83" i="7"/>
  <c r="I104" i="7"/>
  <c r="I85" i="7"/>
  <c r="D262" i="8"/>
  <c r="I121" i="7"/>
  <c r="I82" i="7"/>
  <c r="D260" i="8"/>
  <c r="I88" i="7"/>
  <c r="I125" i="7"/>
  <c r="F36" i="8"/>
  <c r="G36" i="8" s="1"/>
  <c r="I107" i="7"/>
  <c r="I128" i="7"/>
  <c r="I92" i="7"/>
  <c r="F42" i="8"/>
  <c r="G42" i="8" s="1"/>
  <c r="I110" i="7"/>
  <c r="I122" i="7"/>
  <c r="I84" i="7"/>
  <c r="D264" i="8"/>
  <c r="I103" i="7"/>
  <c r="F32" i="8"/>
  <c r="G32" i="8" s="1"/>
  <c r="I94" i="7"/>
  <c r="F45" i="8"/>
  <c r="G45" i="8" s="1"/>
  <c r="I112" i="7"/>
  <c r="I130" i="7"/>
  <c r="I93" i="7"/>
  <c r="I111" i="7"/>
  <c r="I129" i="7"/>
  <c r="F44" i="8"/>
  <c r="G44" i="8" s="1"/>
  <c r="F47" i="8"/>
  <c r="G47" i="8" s="1"/>
  <c r="I96" i="7"/>
  <c r="I132" i="7"/>
  <c r="I114" i="7"/>
  <c r="I91" i="7"/>
  <c r="I127" i="7"/>
  <c r="F39" i="8"/>
  <c r="G39" i="8" s="1"/>
  <c r="I109" i="7"/>
  <c r="I124" i="7"/>
  <c r="I106" i="7"/>
  <c r="F35" i="8"/>
  <c r="G35" i="8" s="1"/>
  <c r="I87" i="7"/>
  <c r="I97" i="7"/>
  <c r="I115" i="7"/>
  <c r="I133" i="7"/>
  <c r="F48" i="8"/>
  <c r="G48" i="8" s="1"/>
  <c r="L128" i="7"/>
  <c r="E38" i="8"/>
  <c r="E43" i="8"/>
  <c r="L112" i="7"/>
  <c r="L129" i="7"/>
  <c r="E37" i="8"/>
  <c r="L133" i="7"/>
  <c r="L125" i="7"/>
  <c r="E41" i="8"/>
  <c r="E49" i="8"/>
  <c r="L130" i="7"/>
  <c r="L132" i="7"/>
  <c r="L127" i="7"/>
  <c r="L124" i="7"/>
  <c r="E34" i="8"/>
  <c r="L104" i="7"/>
  <c r="E46" i="8"/>
  <c r="L103" i="7"/>
  <c r="E50" i="8"/>
  <c r="L114" i="7"/>
  <c r="L106" i="7"/>
  <c r="N34" i="7" a="1"/>
  <c r="L107" i="7"/>
  <c r="L110" i="7"/>
  <c r="L122" i="7"/>
  <c r="L111" i="7"/>
  <c r="E40" i="8"/>
  <c r="L109" i="7"/>
  <c r="L115" i="7"/>
  <c r="F40" i="8" l="1"/>
  <c r="G40" i="8" s="1"/>
  <c r="O50" i="7"/>
  <c r="S50" i="7" s="1"/>
  <c r="O39" i="7"/>
  <c r="S39" i="7" s="1"/>
  <c r="N59" i="7"/>
  <c r="Q59" i="7" s="1"/>
  <c r="O58" i="7"/>
  <c r="S58" i="7" s="1"/>
  <c r="O60" i="7"/>
  <c r="S60" i="7" s="1"/>
  <c r="N40" i="7"/>
  <c r="Q40" i="7" s="1"/>
  <c r="N46" i="7"/>
  <c r="Q46" i="7" s="1"/>
  <c r="O43" i="7"/>
  <c r="S43" i="7" s="1"/>
  <c r="N41" i="7"/>
  <c r="Q41" i="7" s="1"/>
  <c r="O57" i="7"/>
  <c r="S57" i="7" s="1"/>
  <c r="N53" i="7"/>
  <c r="Q53" i="7" s="1"/>
  <c r="O67" i="7"/>
  <c r="N37" i="7"/>
  <c r="Q37" i="7" s="1"/>
  <c r="O41" i="7"/>
  <c r="S41" i="7" s="1"/>
  <c r="O46" i="7"/>
  <c r="S46" i="7" s="1"/>
  <c r="O34" i="7"/>
  <c r="N66" i="7"/>
  <c r="Q66" i="7" s="1"/>
  <c r="N65" i="7"/>
  <c r="Q65" i="7" s="1"/>
  <c r="N43" i="7"/>
  <c r="Q43" i="7" s="1"/>
  <c r="O38" i="7"/>
  <c r="S38" i="7" s="1"/>
  <c r="N51" i="7"/>
  <c r="Q51" i="7" s="1"/>
  <c r="N52" i="7"/>
  <c r="Q52" i="7" s="1"/>
  <c r="O45" i="7"/>
  <c r="S45" i="7" s="1"/>
  <c r="N56" i="7"/>
  <c r="Q56" i="7" s="1"/>
  <c r="O47" i="7"/>
  <c r="S47" i="7" s="1"/>
  <c r="N44" i="7"/>
  <c r="Q44" i="7" s="1"/>
  <c r="O53" i="7"/>
  <c r="S53" i="7" s="1"/>
  <c r="O65" i="7"/>
  <c r="S65" i="7" s="1"/>
  <c r="O68" i="7"/>
  <c r="N54" i="7"/>
  <c r="Q54" i="7" s="1"/>
  <c r="O48" i="7"/>
  <c r="S48" i="7" s="1"/>
  <c r="O35" i="7"/>
  <c r="S35" i="7" s="1"/>
  <c r="N68" i="7"/>
  <c r="Q68" i="7" s="1"/>
  <c r="O63" i="7"/>
  <c r="S63" i="7" s="1"/>
  <c r="N55" i="7"/>
  <c r="Q55" i="7" s="1"/>
  <c r="N62" i="7"/>
  <c r="Q62" i="7" s="1"/>
  <c r="N63" i="7"/>
  <c r="Q63" i="7" s="1"/>
  <c r="O62" i="7"/>
  <c r="S62" i="7" s="1"/>
  <c r="O52" i="7"/>
  <c r="S52" i="7" s="1"/>
  <c r="O56" i="7"/>
  <c r="S56" i="7" s="1"/>
  <c r="O42" i="7"/>
  <c r="S42" i="7" s="1"/>
  <c r="N34" i="7"/>
  <c r="Q34" i="7" s="1"/>
  <c r="O55" i="7"/>
  <c r="S55" i="7" s="1"/>
  <c r="N49" i="7"/>
  <c r="Q49" i="7" s="1"/>
  <c r="N60" i="7"/>
  <c r="Q60" i="7" s="1"/>
  <c r="O44" i="7"/>
  <c r="S44" i="7" s="1"/>
  <c r="N35" i="7"/>
  <c r="Q35" i="7" s="1"/>
  <c r="N47" i="7"/>
  <c r="Q47" i="7" s="1"/>
  <c r="N45" i="7"/>
  <c r="Q45" i="7" s="1"/>
  <c r="N58" i="7"/>
  <c r="Q58" i="7" s="1"/>
  <c r="N57" i="7"/>
  <c r="Q57" i="7" s="1"/>
  <c r="N61" i="7"/>
  <c r="Q61" i="7" s="1"/>
  <c r="O54" i="7"/>
  <c r="S54" i="7" s="1"/>
  <c r="O61" i="7"/>
  <c r="S61" i="7" s="1"/>
  <c r="N42" i="7"/>
  <c r="Q42" i="7" s="1"/>
  <c r="N39" i="7"/>
  <c r="Q39" i="7" s="1"/>
  <c r="N36" i="7"/>
  <c r="Q36" i="7" s="1"/>
  <c r="N67" i="7"/>
  <c r="Q67" i="7" s="1"/>
  <c r="O64" i="7"/>
  <c r="S64" i="7" s="1"/>
  <c r="O51" i="7"/>
  <c r="S51" i="7" s="1"/>
  <c r="N48" i="7"/>
  <c r="Q48" i="7" s="1"/>
  <c r="O66" i="7"/>
  <c r="N38" i="7"/>
  <c r="Q38" i="7" s="1"/>
  <c r="O36" i="7"/>
  <c r="S36" i="7" s="1"/>
  <c r="N64" i="7"/>
  <c r="Q64" i="7" s="1"/>
  <c r="N50" i="7"/>
  <c r="Q50" i="7" s="1"/>
  <c r="O40" i="7"/>
  <c r="S40" i="7" s="1"/>
  <c r="O37" i="7"/>
  <c r="S37" i="7" s="1"/>
  <c r="O49" i="7"/>
  <c r="S49" i="7" s="1"/>
  <c r="O59" i="7"/>
  <c r="S59" i="7" s="1"/>
  <c r="F50" i="8"/>
  <c r="G50" i="8" s="1"/>
  <c r="F46" i="8"/>
  <c r="G46" i="8" s="1"/>
  <c r="I95" i="7"/>
  <c r="I113" i="7"/>
  <c r="I131" i="7"/>
  <c r="I86" i="7"/>
  <c r="I105" i="7"/>
  <c r="I123" i="7"/>
  <c r="F34" i="8"/>
  <c r="G34" i="8" s="1"/>
  <c r="F49" i="8"/>
  <c r="G49" i="8" s="1"/>
  <c r="F41" i="8"/>
  <c r="G41" i="8" s="1"/>
  <c r="I108" i="7"/>
  <c r="I126" i="7"/>
  <c r="I89" i="7"/>
  <c r="F37" i="8"/>
  <c r="G37" i="8" s="1"/>
  <c r="F43" i="8"/>
  <c r="G43" i="8" s="1"/>
  <c r="I90" i="7"/>
  <c r="F38" i="8"/>
  <c r="G38" i="8" s="1"/>
  <c r="C58" i="8"/>
  <c r="F58" i="8" s="1"/>
  <c r="G58" i="8" s="1"/>
  <c r="C70" i="8"/>
  <c r="C66" i="8"/>
  <c r="F66" i="8" s="1"/>
  <c r="G66" i="8" s="1"/>
  <c r="C67" i="8"/>
  <c r="F67" i="8" s="1"/>
  <c r="G67" i="8" s="1"/>
  <c r="C55" i="8"/>
  <c r="C65" i="8"/>
  <c r="F65" i="8" s="1"/>
  <c r="G65" i="8" s="1"/>
  <c r="C56" i="8"/>
  <c r="C60" i="8"/>
  <c r="F60" i="8" s="1"/>
  <c r="G60" i="8" s="1"/>
  <c r="C64" i="8"/>
  <c r="F64" i="8" s="1"/>
  <c r="G64" i="8" s="1"/>
  <c r="C69" i="8"/>
  <c r="C57" i="8"/>
  <c r="C61" i="8"/>
  <c r="F61" i="8" s="1"/>
  <c r="G61" i="8" s="1"/>
  <c r="C54" i="8"/>
  <c r="L131" i="7"/>
  <c r="L108" i="7"/>
  <c r="L85" i="7"/>
  <c r="L82" i="7"/>
  <c r="L83" i="7"/>
  <c r="L84" i="7"/>
  <c r="L126" i="7"/>
  <c r="L97" i="7"/>
  <c r="L94" i="7"/>
  <c r="L87" i="7"/>
  <c r="L96" i="7"/>
  <c r="L81" i="7"/>
  <c r="L92" i="7"/>
  <c r="L91" i="7"/>
  <c r="L105" i="7"/>
  <c r="L88" i="7"/>
  <c r="L113" i="7"/>
  <c r="O102" i="7" s="1"/>
  <c r="L123" i="7"/>
  <c r="O120" i="7"/>
  <c r="L93" i="7"/>
  <c r="N103" i="7" a="1"/>
  <c r="Q102" i="7"/>
  <c r="N121" i="7" a="1"/>
  <c r="Q120" i="7"/>
  <c r="O124" i="7" l="1"/>
  <c r="N121" i="7"/>
  <c r="O134" i="7"/>
  <c r="N122" i="7"/>
  <c r="N128" i="7"/>
  <c r="O126" i="7"/>
  <c r="N125" i="7"/>
  <c r="O130" i="7"/>
  <c r="N133" i="7"/>
  <c r="N132" i="7"/>
  <c r="N131" i="7"/>
  <c r="O121" i="7"/>
  <c r="O129" i="7"/>
  <c r="O132" i="7"/>
  <c r="N124" i="7"/>
  <c r="O127" i="7"/>
  <c r="N127" i="7"/>
  <c r="N129" i="7"/>
  <c r="N126" i="7"/>
  <c r="O128" i="7"/>
  <c r="O125" i="7"/>
  <c r="O122" i="7"/>
  <c r="N130" i="7"/>
  <c r="O135" i="7"/>
  <c r="N123" i="7"/>
  <c r="O133" i="7"/>
  <c r="O123" i="7"/>
  <c r="N135" i="7"/>
  <c r="O131" i="7"/>
  <c r="N134" i="7"/>
  <c r="N103" i="7"/>
  <c r="Q103" i="7" s="1"/>
  <c r="N110" i="7"/>
  <c r="Q110" i="7" s="1"/>
  <c r="N115" i="7"/>
  <c r="Q115" i="7" s="1"/>
  <c r="O115" i="7"/>
  <c r="N112" i="7"/>
  <c r="Q112" i="7" s="1"/>
  <c r="O103" i="7"/>
  <c r="N114" i="7"/>
  <c r="Q114" i="7" s="1"/>
  <c r="O108" i="7"/>
  <c r="N107" i="7"/>
  <c r="Q107" i="7" s="1"/>
  <c r="O117" i="7"/>
  <c r="O111" i="7"/>
  <c r="N105" i="7"/>
  <c r="Q105" i="7" s="1"/>
  <c r="N117" i="7"/>
  <c r="O114" i="7"/>
  <c r="O105" i="7"/>
  <c r="O104" i="7"/>
  <c r="N116" i="7"/>
  <c r="Q116" i="7" s="1"/>
  <c r="O106" i="7"/>
  <c r="N113" i="7"/>
  <c r="Q113" i="7" s="1"/>
  <c r="N106" i="7"/>
  <c r="Q106" i="7" s="1"/>
  <c r="O107" i="7"/>
  <c r="O110" i="7"/>
  <c r="N104" i="7"/>
  <c r="Q104" i="7" s="1"/>
  <c r="N109" i="7"/>
  <c r="Q109" i="7" s="1"/>
  <c r="O113" i="7"/>
  <c r="N108" i="7"/>
  <c r="Q108" i="7" s="1"/>
  <c r="O112" i="7"/>
  <c r="N111" i="7"/>
  <c r="Q111" i="7" s="1"/>
  <c r="O109" i="7"/>
  <c r="O116" i="7"/>
  <c r="C68" i="8"/>
  <c r="C63" i="8"/>
  <c r="F63" i="8" s="1"/>
  <c r="G63" i="8" s="1"/>
  <c r="C59" i="8"/>
  <c r="C62" i="8"/>
  <c r="F62" i="8" s="1"/>
  <c r="G62" i="8" s="1"/>
  <c r="L95" i="7"/>
  <c r="L86" i="7"/>
  <c r="L90" i="7"/>
  <c r="L89" i="7"/>
  <c r="O80" i="7"/>
  <c r="N81" i="7" a="1"/>
  <c r="N90" i="7"/>
  <c r="Q90" i="7"/>
  <c r="O87" i="7"/>
  <c r="S87" i="7"/>
  <c r="N98" i="7"/>
  <c r="Q98" i="7"/>
  <c r="N93" i="7"/>
  <c r="Q93" i="7"/>
  <c r="O94" i="7"/>
  <c r="S94" i="7"/>
  <c r="O84" i="7"/>
  <c r="S84" i="7"/>
  <c r="O91" i="7"/>
  <c r="S91" i="7"/>
  <c r="O97" i="7"/>
  <c r="S97" i="7"/>
  <c r="O93" i="7"/>
  <c r="S93" i="7"/>
  <c r="O99" i="7"/>
  <c r="N82" i="7"/>
  <c r="Q82" i="7" s="1"/>
  <c r="N87" i="7"/>
  <c r="Q87" i="7" s="1"/>
  <c r="N89" i="7"/>
  <c r="Q89" i="7" s="1"/>
  <c r="O98" i="7"/>
  <c r="S98" i="7" s="1"/>
  <c r="O89" i="7"/>
  <c r="S89" i="7" s="1"/>
  <c r="O82" i="7"/>
  <c r="S82" i="7" s="1"/>
  <c r="N97" i="7"/>
  <c r="Q97" i="7" s="1"/>
  <c r="N85" i="7"/>
  <c r="Q85" i="7" s="1"/>
  <c r="N84" i="7"/>
  <c r="Q84" i="7" s="1"/>
  <c r="N88" i="7"/>
  <c r="Q88" i="7" s="1"/>
  <c r="O81" i="7"/>
  <c r="N94" i="7"/>
  <c r="Q94" i="7"/>
  <c r="O88" i="7"/>
  <c r="S88" i="7"/>
  <c r="N96" i="7"/>
  <c r="Q96" i="7"/>
  <c r="N81" i="7"/>
  <c r="Q81" i="7"/>
  <c r="N83" i="7"/>
  <c r="Q83" i="7"/>
  <c r="O92" i="7"/>
  <c r="S92" i="7"/>
  <c r="O95" i="7"/>
  <c r="S95" i="7"/>
  <c r="N91" i="7"/>
  <c r="Q91" i="7"/>
  <c r="O96" i="7"/>
  <c r="S96" i="7"/>
  <c r="O83" i="7"/>
  <c r="S83" i="7"/>
  <c r="N95" i="7"/>
  <c r="Q95" i="7"/>
  <c r="N86" i="7"/>
  <c r="Q86" i="7"/>
  <c r="O86" i="7"/>
  <c r="S86" i="7"/>
  <c r="O90" i="7"/>
  <c r="S90" i="7"/>
  <c r="N92" i="7"/>
  <c r="Q92" i="7"/>
  <c r="O85" i="7"/>
  <c r="S85" i="7"/>
  <c r="N99" i="7"/>
  <c r="Q99" i="7"/>
  <c r="Q80" i="7"/>
</calcChain>
</file>

<file path=xl/sharedStrings.xml><?xml version="1.0" encoding="utf-8"?>
<sst xmlns="http://schemas.openxmlformats.org/spreadsheetml/2006/main" count="409" uniqueCount="245">
  <si>
    <t>FEDL01 Index</t>
  </si>
  <si>
    <t>1 WK</t>
  </si>
  <si>
    <t>1 MO</t>
  </si>
  <si>
    <t>2 MO</t>
  </si>
  <si>
    <t>3 MO</t>
  </si>
  <si>
    <t>6 MO</t>
  </si>
  <si>
    <t>12 MO</t>
  </si>
  <si>
    <t>4 YR</t>
  </si>
  <si>
    <t>5 YR</t>
  </si>
  <si>
    <t>O/N</t>
  </si>
  <si>
    <t>T/N</t>
  </si>
  <si>
    <t>6 YR</t>
  </si>
  <si>
    <t>7 YR</t>
  </si>
  <si>
    <t>8 YR</t>
  </si>
  <si>
    <t>9 YR</t>
  </si>
  <si>
    <t>10 YR</t>
  </si>
  <si>
    <t>11 YR</t>
  </si>
  <si>
    <t>12 YR</t>
  </si>
  <si>
    <t>15 YR</t>
  </si>
  <si>
    <t>20 YR</t>
  </si>
  <si>
    <t>25 YR</t>
  </si>
  <si>
    <t>30 YR</t>
  </si>
  <si>
    <t>40 YR</t>
  </si>
  <si>
    <t>50 YR</t>
  </si>
  <si>
    <t>Curve</t>
  </si>
  <si>
    <t>1D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</si>
  <si>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</si>
  <si>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</si>
  <si>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</si>
  <si>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</si>
  <si>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</si>
  <si>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</si>
  <si>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</si>
  <si>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</si>
  <si>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</si>
  <si>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9M</t>
  </si>
  <si>
    <t>12M</t>
  </si>
  <si>
    <t>18M</t>
  </si>
  <si>
    <t>2Y</t>
  </si>
  <si>
    <t>3Y</t>
  </si>
  <si>
    <t>4Y</t>
  </si>
  <si>
    <t>5Y</t>
  </si>
  <si>
    <t>7Y</t>
  </si>
  <si>
    <t>10Y</t>
  </si>
  <si>
    <t>12Y</t>
  </si>
  <si>
    <t>15Y</t>
  </si>
  <si>
    <t>20Y</t>
  </si>
  <si>
    <t>25Y</t>
  </si>
  <si>
    <t>30Y</t>
  </si>
  <si>
    <t>40Y</t>
  </si>
  <si>
    <t>50Y</t>
  </si>
  <si>
    <t>US0003M  Index</t>
  </si>
  <si>
    <t>US00O/N  Index</t>
  </si>
  <si>
    <t>USDR2T  Index</t>
  </si>
  <si>
    <t>US0001W  Index</t>
  </si>
  <si>
    <t>US0001M  Index</t>
  </si>
  <si>
    <t>US0002M  Index</t>
  </si>
  <si>
    <t>US0006M  Index</t>
  </si>
  <si>
    <t>US0012M  Index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</si>
  <si>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</si>
  <si>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</si>
  <si>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</si>
  <si>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</si>
  <si>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</si>
  <si>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</si>
  <si>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</si>
  <si>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</si>
  <si>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</si>
  <si>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</si>
  <si>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</si>
  <si>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</si>
  <si>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</si>
  <si>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</si>
  <si>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</si>
  <si>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</si>
  <si>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USSO7 Curncy</t>
  </si>
  <si>
    <t>USSO10 Curncy</t>
  </si>
  <si>
    <t>USSO12 Curncy</t>
  </si>
  <si>
    <t>USSO15 Curncy</t>
  </si>
  <si>
    <t>USSO20 Curncy</t>
  </si>
  <si>
    <t>USSO25 Curncy</t>
  </si>
  <si>
    <t>USSO30 Curncy</t>
  </si>
  <si>
    <t>USSO40 Curncy</t>
  </si>
  <si>
    <t>USSO50 Curncy</t>
  </si>
  <si>
    <t>USSWAP4 Curncy</t>
  </si>
  <si>
    <t>USSWAP5 Curncy</t>
  </si>
  <si>
    <t>USSWAP6 Curncy</t>
  </si>
  <si>
    <t>USSWAP7 Curncy</t>
  </si>
  <si>
    <t>USSWAP8 Curncy</t>
  </si>
  <si>
    <t>USSWAP9 Curncy</t>
  </si>
  <si>
    <t>USSWAP10 Curncy</t>
  </si>
  <si>
    <t>USSWAP11 Curncy</t>
  </si>
  <si>
    <t>USSWAP12 Curncy</t>
  </si>
  <si>
    <t>USSWAP15 Curncy</t>
  </si>
  <si>
    <t>USSWAP20 Curncy</t>
  </si>
  <si>
    <t>USSWAP25 Curncy</t>
  </si>
  <si>
    <t>USSWAP30 Curncy</t>
  </si>
  <si>
    <t>USSWAP40 Curncy</t>
  </si>
  <si>
    <t>USSWAP50 Curncy</t>
  </si>
  <si>
    <t>Date</t>
  </si>
  <si>
    <t>3 Yr</t>
  </si>
  <si>
    <t>2 Yr</t>
  </si>
  <si>
    <t>1 Yr</t>
  </si>
  <si>
    <t>4 Yr</t>
  </si>
  <si>
    <t>5 Yr</t>
  </si>
  <si>
    <t>6 Yr</t>
  </si>
  <si>
    <t>7 Yr</t>
  </si>
  <si>
    <t>10 Yr</t>
  </si>
  <si>
    <t>12 Yr</t>
  </si>
  <si>
    <t>15 Yr</t>
  </si>
  <si>
    <t>20 Yr</t>
  </si>
  <si>
    <t>25 Yr</t>
  </si>
  <si>
    <t>30 Yr</t>
  </si>
  <si>
    <t>USBAAC Curncy</t>
  </si>
  <si>
    <t>USBAAF Curncy</t>
  </si>
  <si>
    <t>USBAAI Curncy</t>
  </si>
  <si>
    <t>USBA1 Curncy</t>
  </si>
  <si>
    <t>USBA1F Curncy</t>
  </si>
  <si>
    <t>USBA2 Curncy</t>
  </si>
  <si>
    <t>USBA3 Curncy</t>
  </si>
  <si>
    <t>USBA4 Curncy</t>
  </si>
  <si>
    <t>USBA5 Curncy</t>
  </si>
  <si>
    <t>USBA6 Curncy</t>
  </si>
  <si>
    <t>USBA7 Curncy</t>
  </si>
  <si>
    <t>USBA10 Curncy</t>
  </si>
  <si>
    <t>USBA12 Curncy</t>
  </si>
  <si>
    <t>USBA15 Curncy</t>
  </si>
  <si>
    <t>USBA20 Curncy</t>
  </si>
  <si>
    <t>USBA25 Curncy</t>
  </si>
  <si>
    <t>USBA30 Curncy</t>
  </si>
  <si>
    <t>18 M</t>
  </si>
  <si>
    <t>USBC1 Curncy</t>
  </si>
  <si>
    <t>USBC1F Curncy</t>
  </si>
  <si>
    <t>USBC2 Curncy</t>
  </si>
  <si>
    <t>USBC3 Curncy</t>
  </si>
  <si>
    <t>USBC4 Curncy</t>
  </si>
  <si>
    <t>USBC5 Curncy</t>
  </si>
  <si>
    <t>USBC7 Curncy</t>
  </si>
  <si>
    <t>USBC10 Curncy</t>
  </si>
  <si>
    <t>USBC12 Curncy</t>
  </si>
  <si>
    <t>USBC15 Curncy</t>
  </si>
  <si>
    <t>USBC20 Curncy</t>
  </si>
  <si>
    <t>USBC25 Curncy</t>
  </si>
  <si>
    <t>USBC30 Curncy</t>
  </si>
  <si>
    <t>USBL1 Curncy</t>
  </si>
  <si>
    <t>USBL2 Curncy</t>
  </si>
  <si>
    <t>USBL3 Curncy</t>
  </si>
  <si>
    <t>USBL4 Curncy</t>
  </si>
  <si>
    <t>USBL5 Curncy</t>
  </si>
  <si>
    <t>USBL7 Curncy</t>
  </si>
  <si>
    <t>USBL10 Curncy</t>
  </si>
  <si>
    <t>USBL12 Curncy</t>
  </si>
  <si>
    <t>USBL15 Curncy</t>
  </si>
  <si>
    <t>USBL20 Curncy</t>
  </si>
  <si>
    <t>USBL25 Curncy</t>
  </si>
  <si>
    <t>USBL30 Curncy</t>
  </si>
  <si>
    <t>6 M</t>
  </si>
  <si>
    <t>USBLF Curncy</t>
  </si>
  <si>
    <t>USDOIS</t>
  </si>
  <si>
    <t>USDLIB3M</t>
  </si>
  <si>
    <t>USDLIB1M</t>
  </si>
  <si>
    <t>USDLIB6M</t>
  </si>
  <si>
    <t>USDLIB12M</t>
  </si>
  <si>
    <t>BBG Quotes</t>
  </si>
  <si>
    <t>EOD Curve</t>
  </si>
  <si>
    <t>(%)</t>
  </si>
  <si>
    <t>1Y</t>
  </si>
  <si>
    <t>USBG1 Curncy</t>
  </si>
  <si>
    <t>USBG2 Curncy</t>
  </si>
  <si>
    <t>USBG3 Curncy</t>
  </si>
  <si>
    <t>USBG4 Curncy</t>
  </si>
  <si>
    <t>USBG5 Curncy</t>
  </si>
  <si>
    <t>USBG10 Curncy</t>
  </si>
  <si>
    <t>USBG7 Curncy</t>
  </si>
  <si>
    <t>USBG12 Curncy</t>
  </si>
  <si>
    <t>USBG15 Curncy</t>
  </si>
  <si>
    <t>USBG20 Curncy</t>
  </si>
  <si>
    <t>USBG25 Curncy</t>
  </si>
  <si>
    <t>USBG30 Curncy</t>
  </si>
  <si>
    <t>EOD Quotes</t>
  </si>
  <si>
    <t>Abs Diff (bps)</t>
  </si>
  <si>
    <t>Rel Diff (%)</t>
  </si>
  <si>
    <t>EOD Swap Obj</t>
  </si>
  <si>
    <t>From</t>
  </si>
  <si>
    <t>To</t>
  </si>
  <si>
    <t>6Y</t>
  </si>
  <si>
    <t>8Y</t>
  </si>
  <si>
    <t>9Y</t>
  </si>
  <si>
    <t>11Y</t>
  </si>
  <si>
    <t xml:space="preserve">Curve </t>
  </si>
  <si>
    <t>Today</t>
  </si>
  <si>
    <t>Fixing</t>
  </si>
  <si>
    <t>Fed Fund Basis Swap</t>
  </si>
  <si>
    <t>3 YR</t>
  </si>
  <si>
    <t>2 YR</t>
  </si>
  <si>
    <t>1 YR</t>
  </si>
  <si>
    <t>USSWAP1 Curncy</t>
  </si>
  <si>
    <t>USSWAP2 Curncy</t>
  </si>
  <si>
    <t>USSWAP3 Curncy</t>
  </si>
  <si>
    <t>Mkt Quotes</t>
  </si>
  <si>
    <t>Path</t>
  </si>
  <si>
    <t>USD1M</t>
  </si>
  <si>
    <t>Trade ID</t>
  </si>
  <si>
    <t>Entity</t>
  </si>
  <si>
    <t>NDC</t>
  </si>
  <si>
    <t>Entity ID</t>
  </si>
  <si>
    <t>NA</t>
  </si>
  <si>
    <t>Counterparty</t>
  </si>
  <si>
    <t>JP Morgan</t>
  </si>
  <si>
    <t>Counterparty ID</t>
  </si>
  <si>
    <t>Swap Type</t>
  </si>
  <si>
    <t>Payer</t>
  </si>
  <si>
    <t>Fixing Days</t>
  </si>
  <si>
    <t>Trade Date</t>
  </si>
  <si>
    <t>Settlement Date</t>
  </si>
  <si>
    <t>Maturity Date</t>
  </si>
  <si>
    <t>Tenor</t>
  </si>
  <si>
    <t>Is Schedule Given</t>
  </si>
  <si>
    <t>First Leg Index</t>
  </si>
  <si>
    <t>First Leg Frequency</t>
  </si>
  <si>
    <t>First Leg Convention</t>
  </si>
  <si>
    <t>MODIFIEDFOLLOWING</t>
  </si>
  <si>
    <t>First Leg Calendar</t>
  </si>
  <si>
    <t>First Leg DayCounter</t>
  </si>
  <si>
    <t>ACTUAL360</t>
  </si>
  <si>
    <t>First Leg DGRule</t>
  </si>
  <si>
    <t>BACKWARD</t>
  </si>
  <si>
    <t>First Leg EOM</t>
  </si>
  <si>
    <t>Fixed Rate</t>
  </si>
  <si>
    <t>First Leg Notionals</t>
  </si>
  <si>
    <t>First Leg Schedule</t>
  </si>
  <si>
    <t>Second Leg Index</t>
  </si>
  <si>
    <t>Second Leg Frequency</t>
  </si>
  <si>
    <t>QUARTERLY</t>
  </si>
  <si>
    <t>Second Leg Convention</t>
  </si>
  <si>
    <t>Second Leg Calendar</t>
  </si>
  <si>
    <t>Second Leg DayCounter</t>
  </si>
  <si>
    <t>Second Leg DGRule</t>
  </si>
  <si>
    <t>Second Leg EOM</t>
  </si>
  <si>
    <t>Spread</t>
  </si>
  <si>
    <t>Second Leg Notionals</t>
  </si>
  <si>
    <t>Second Leg Schedule</t>
  </si>
  <si>
    <t>Object</t>
  </si>
  <si>
    <t>NYC|LON</t>
  </si>
  <si>
    <t>MONTHLY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</si>
</sst>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0.0000000"/>
    <numFmt numFmtId="165" formatCode="0.000"/>
    <numFmt numFmtId="166" formatCode="0.0000"/>
    <numFmt numFmtId="167" formatCode="_(* #,##0.0000_);_(* \(#,##0.0000\);_(* &quot;-&quot;??_);_(@_)"/>
    <numFmt numFmtId="168" formatCode="0.00000"/>
    <numFmt numFmtId="169" formatCode="0.0000%"/>
  </numFmts>
  <fonts count="9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7030A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49998474074526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64">
    <xf numFmtId="0" fontId="0" fillId="0" borderId="0" xfId="0"/>
    <xf numFmtId="0" fontId="0" fillId="3" borderId="0" xfId="0" applyFill="1"/>
    <xf numFmtId="14" fontId="0" fillId="0" borderId="0" xfId="0" applyNumberFormat="1"/>
    <xf numFmtId="164" fontId="0" fillId="0" borderId="0" xfId="0" applyNumberFormat="1"/>
    <xf numFmtId="14" fontId="0" fillId="4" borderId="0" xfId="0" applyNumberFormat="1" applyFill="1"/>
    <xf numFmtId="0" fontId="2" fillId="6" borderId="0" xfId="0" applyFont="1" applyFill="1"/>
    <xf numFmtId="0" fontId="0" fillId="5" borderId="0" xfId="0" applyFill="1"/>
    <xf numFmtId="0" fontId="0" fillId="6" borderId="0" xfId="0" applyFill="1"/>
    <xf numFmtId="0" fontId="3" fillId="7" borderId="0" xfId="0" applyFont="1" applyFill="1"/>
    <xf numFmtId="0" fontId="0" fillId="4" borderId="0" xfId="0" applyFill="1"/>
    <xf numFmtId="10" fontId="0" fillId="0" borderId="0" xfId="2" applyNumberFormat="1" applyFont="1"/>
    <xf numFmtId="0" fontId="6" fillId="0" borderId="0" xfId="0" applyFont="1"/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6" fillId="11" borderId="3" xfId="0" applyFont="1" applyFill="1" applyBorder="1"/>
    <xf numFmtId="0" fontId="6" fillId="11" borderId="4" xfId="0" applyFont="1" applyFill="1" applyBorder="1"/>
    <xf numFmtId="0" fontId="0" fillId="9" borderId="0" xfId="0" applyFill="1" applyBorder="1"/>
    <xf numFmtId="165" fontId="0" fillId="8" borderId="0" xfId="0" applyNumberFormat="1" applyFill="1" applyBorder="1"/>
    <xf numFmtId="166" fontId="0" fillId="0" borderId="0" xfId="0" applyNumberFormat="1"/>
    <xf numFmtId="165" fontId="0" fillId="5" borderId="0" xfId="0" applyNumberFormat="1" applyFill="1"/>
    <xf numFmtId="167" fontId="0" fillId="0" borderId="0" xfId="3" applyNumberFormat="1" applyFont="1"/>
    <xf numFmtId="14" fontId="7" fillId="0" borderId="0" xfId="0" applyNumberFormat="1" applyFont="1" applyFill="1"/>
    <xf numFmtId="0" fontId="3" fillId="0" borderId="0" xfId="0" applyFont="1"/>
    <xf numFmtId="1" fontId="0" fillId="0" borderId="0" xfId="0" applyNumberFormat="1"/>
    <xf numFmtId="0" fontId="3" fillId="10" borderId="6" xfId="0" applyFont="1" applyFill="1" applyBorder="1" applyAlignment="1">
      <alignment horizontal="center" vertical="center"/>
    </xf>
    <xf numFmtId="0" fontId="0" fillId="8" borderId="7" xfId="0" applyFill="1" applyBorder="1"/>
    <xf numFmtId="166" fontId="0" fillId="9" borderId="0" xfId="0" applyNumberFormat="1" applyFill="1" applyBorder="1" applyAlignment="1">
      <alignment horizontal="center" vertical="center"/>
    </xf>
    <xf numFmtId="166" fontId="0" fillId="9" borderId="5" xfId="0" applyNumberFormat="1" applyFill="1" applyBorder="1" applyAlignment="1">
      <alignment horizontal="center" vertical="center"/>
    </xf>
    <xf numFmtId="166" fontId="0" fillId="8" borderId="0" xfId="0" applyNumberFormat="1" applyFill="1" applyBorder="1" applyAlignment="1">
      <alignment horizontal="center" vertical="center"/>
    </xf>
    <xf numFmtId="166" fontId="0" fillId="8" borderId="5" xfId="0" applyNumberFormat="1" applyFill="1" applyBorder="1" applyAlignment="1">
      <alignment horizontal="center" vertical="center"/>
    </xf>
    <xf numFmtId="168" fontId="0" fillId="9" borderId="0" xfId="0" applyNumberFormat="1" applyFill="1" applyBorder="1" applyAlignment="1">
      <alignment horizontal="center" vertical="center"/>
    </xf>
    <xf numFmtId="168" fontId="0" fillId="9" borderId="5" xfId="0" applyNumberFormat="1" applyFill="1" applyBorder="1" applyAlignment="1">
      <alignment horizontal="center" vertical="center"/>
    </xf>
    <xf numFmtId="169" fontId="0" fillId="8" borderId="7" xfId="0" applyNumberFormat="1" applyFill="1" applyBorder="1" applyAlignment="1">
      <alignment horizontal="center" vertical="center"/>
    </xf>
    <xf numFmtId="169" fontId="0" fillId="8" borderId="7" xfId="2" applyNumberFormat="1" applyFont="1" applyFill="1" applyBorder="1" applyAlignment="1">
      <alignment horizontal="center" vertical="center"/>
    </xf>
    <xf numFmtId="169" fontId="0" fillId="8" borderId="8" xfId="2" applyNumberFormat="1" applyFont="1" applyFill="1" applyBorder="1" applyAlignment="1">
      <alignment horizontal="center" vertical="center"/>
    </xf>
    <xf numFmtId="168" fontId="0" fillId="8" borderId="0" xfId="0" applyNumberFormat="1" applyFill="1" applyBorder="1" applyAlignment="1">
      <alignment horizontal="center" vertical="center"/>
    </xf>
    <xf numFmtId="168" fontId="0" fillId="8" borderId="5" xfId="0" applyNumberFormat="1" applyFill="1" applyBorder="1" applyAlignment="1">
      <alignment horizontal="center" vertical="center"/>
    </xf>
    <xf numFmtId="0" fontId="6" fillId="12" borderId="9" xfId="0" applyFont="1" applyFill="1" applyBorder="1"/>
    <xf numFmtId="0" fontId="8" fillId="13" borderId="7" xfId="0" applyFon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14" fontId="0" fillId="13" borderId="7" xfId="0" applyNumberFormat="1" applyFill="1" applyBorder="1" applyAlignment="1">
      <alignment horizontal="center" vertical="center"/>
    </xf>
    <xf numFmtId="0" fontId="6" fillId="12" borderId="10" xfId="0" applyFont="1" applyFill="1" applyBorder="1"/>
    <xf numFmtId="0" fontId="0" fillId="13" borderId="8" xfId="0" applyFill="1" applyBorder="1" applyAlignment="1">
      <alignment horizontal="center" vertical="center"/>
    </xf>
    <xf numFmtId="0" fontId="6" fillId="8" borderId="9" xfId="0" applyFont="1" applyFill="1" applyBorder="1"/>
    <xf numFmtId="0" fontId="0" fillId="13" borderId="9" xfId="0" applyFill="1" applyBorder="1" applyAlignment="1">
      <alignment horizontal="center" vertical="center"/>
    </xf>
    <xf numFmtId="9" fontId="0" fillId="13" borderId="9" xfId="0" applyNumberFormat="1" applyFill="1" applyBorder="1" applyAlignment="1">
      <alignment horizontal="center" vertical="center"/>
    </xf>
    <xf numFmtId="11" fontId="0" fillId="13" borderId="9" xfId="0" applyNumberFormat="1" applyFill="1" applyBorder="1" applyAlignment="1">
      <alignment horizontal="center" vertical="center"/>
    </xf>
    <xf numFmtId="0" fontId="6" fillId="8" borderId="10" xfId="0" applyFont="1" applyFill="1" applyBorder="1"/>
    <xf numFmtId="9" fontId="0" fillId="13" borderId="10" xfId="0" applyNumberFormat="1" applyFill="1" applyBorder="1" applyAlignment="1">
      <alignment horizontal="center" vertical="center"/>
    </xf>
    <xf numFmtId="0" fontId="6" fillId="14" borderId="11" xfId="0" applyFont="1" applyFill="1" applyBorder="1"/>
    <xf numFmtId="0" fontId="0" fillId="13" borderId="11" xfId="0" applyFill="1" applyBorder="1" applyAlignment="1">
      <alignment horizontal="center" vertical="center"/>
    </xf>
    <xf numFmtId="0" fontId="6" fillId="14" borderId="9" xfId="0" applyFont="1" applyFill="1" applyBorder="1"/>
    <xf numFmtId="0" fontId="3" fillId="15" borderId="11" xfId="0" applyFont="1" applyFill="1" applyBorder="1"/>
    <xf numFmtId="0" fontId="3" fillId="15" borderId="10" xfId="0" applyFont="1" applyFill="1" applyBorder="1"/>
    <xf numFmtId="0" fontId="3" fillId="15" borderId="5" xfId="0" applyFont="1" applyFill="1" applyBorder="1" applyAlignment="1">
      <alignment horizontal="center" vertical="center"/>
    </xf>
    <xf numFmtId="0" fontId="3" fillId="15" borderId="8" xfId="0" applyFont="1" applyFill="1" applyBorder="1" applyAlignment="1">
      <alignment horizontal="center" vertical="center"/>
    </xf>
    <xf numFmtId="0" fontId="3" fillId="15" borderId="2" xfId="0" applyFont="1" applyFill="1" applyBorder="1" applyAlignment="1">
      <alignment horizontal="center"/>
    </xf>
    <xf numFmtId="0" fontId="3" fillId="15" borderId="6" xfId="0" applyFont="1" applyFill="1" applyBorder="1" applyAlignment="1">
      <alignment horizontal="center"/>
    </xf>
    <xf numFmtId="0" fontId="6" fillId="14" borderId="10" xfId="0" applyFont="1" applyFill="1" applyBorder="1"/>
    <xf numFmtId="0" fontId="0" fillId="13" borderId="10" xfId="0" applyFill="1" applyBorder="1" applyAlignment="1">
      <alignment horizontal="center" vertical="center"/>
    </xf>
    <xf numFmtId="0" fontId="6" fillId="14" borderId="12" xfId="0" applyFont="1" applyFill="1" applyBorder="1"/>
    <xf numFmtId="0" fontId="0" fillId="0" borderId="13" xfId="0" applyBorder="1"/>
  </cellXfs>
  <cellStyles count="4">
    <cellStyle name="blp_column_header" xfId="1"/>
    <cellStyle name="Comma" xfId="3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</xdr:row>
          <xdr:rowOff>38100</xdr:rowOff>
        </xdr:from>
        <xdr:to>
          <xdr:col>11</xdr:col>
          <xdr:colOff>495300</xdr:colOff>
          <xdr:row>5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Construct USD Curves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7</xdr:row>
          <xdr:rowOff>38100</xdr:rowOff>
        </xdr:from>
        <xdr:to>
          <xdr:col>11</xdr:col>
          <xdr:colOff>485775</xdr:colOff>
          <xdr:row>10</xdr:row>
          <xdr:rowOff>76200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Publish USD Curves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12</xdr:row>
          <xdr:rowOff>9525</xdr:rowOff>
        </xdr:from>
        <xdr:to>
          <xdr:col>11</xdr:col>
          <xdr:colOff>476250</xdr:colOff>
          <xdr:row>15</xdr:row>
          <xdr:rowOff>47625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Curve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148"/>
  <sheetViews>
    <sheetView topLeftCell="B76" workbookViewId="0">
      <selection activeCell="R89" sqref="R89"/>
    </sheetView>
  </sheetViews>
  <sheetFormatPr defaultRowHeight="15" x14ac:dyDescent="0.25"/>
  <cols>
    <col min="1" max="1" width="11" customWidth="1"/>
    <col min="2" max="2" width="10.7109375" customWidth="1"/>
    <col min="3" max="3" width="11.140625" customWidth="1"/>
    <col min="10" max="10" width="12" bestFit="1" customWidth="1"/>
    <col min="12" max="12" width="31.7109375" bestFit="1" customWidth="1"/>
    <col min="14" max="14" width="11.140625" customWidth="1"/>
    <col min="15" max="15" width="17.5703125" customWidth="1"/>
    <col min="17" max="17" width="10.7109375" bestFit="1" customWidth="1"/>
    <col min="18" max="18" width="14" customWidth="1"/>
    <col min="19" max="19" width="12.7109375" bestFit="1" customWidth="1"/>
  </cols>
  <sheetData>
    <row r="1" spans="1:19" x14ac:dyDescent="0.25">
      <c r="A1" t="s">
        <v>99</v>
      </c>
      <c r="B1" s="2">
        <v>42185</v>
      </c>
    </row>
    <row r="2" spans="1:19" x14ac:dyDescent="0.25">
      <c r="B2" s="2">
        <f>_xll.qlTimeSetEvaluationDate(B1)</f>
        <v>42185</v>
      </c>
      <c r="C2" s="8" t="s">
        <v>158</v>
      </c>
      <c r="N2" t="s">
        <v>24</v>
      </c>
      <c r="O2" t="str">
        <f>_xll.qlIRCurveLinearZero(C2,L3:L28)</f>
        <v>CRV@USDOIS#07:55:38</v>
      </c>
      <c r="Q2" t="str">
        <f>_xll.qlCurveIRIndex(C2,,O2)</f>
        <v>IDX@USDOIS#07:55:38</v>
      </c>
    </row>
    <row r="3" spans="1:19" x14ac:dyDescent="0.25">
      <c r="B3" s="2">
        <f>_xll.qlTimeAdvanceDate(B2,"NYC|LON","2D")</f>
        <v>42187</v>
      </c>
      <c r="C3" s="6">
        <v>1</v>
      </c>
      <c r="D3" s="6" t="s">
        <v>25</v>
      </c>
      <c r="E3" t="s">
        <v>0</v>
      </c>
      <c r="F3">
        <v>0.14000000000000001</v>
      </c>
      <c r="G3">
        <v>0.14000000000000001</v>
      </c>
      <c r="H3">
        <f>G3/100</f>
        <v>1.4000000000000002E-3</v>
      </c>
      <c r="K3">
        <v>1</v>
      </c>
      <c r="L3" t="str">
        <f>IF(K3,_xll.qlIRCurveDepositRateHelper(E3,H3,D3,0),"")</f>
        <v>RHDEP@FEDL01 Index#07:55:38</v>
      </c>
      <c r="N3" s="2">
        <f t="array" ref="N3:O29">_xll.qlIRCurveDisplayDiscountCurve(O2)</f>
        <v>42185</v>
      </c>
      <c r="O3" t="str">
        <v>1</v>
      </c>
      <c r="Q3" s="25">
        <f>N3</f>
        <v>42185</v>
      </c>
    </row>
    <row r="4" spans="1:19" x14ac:dyDescent="0.25">
      <c r="C4" s="6">
        <v>2</v>
      </c>
      <c r="D4" s="6" t="s">
        <v>26</v>
      </c>
      <c r="E4" t="s">
        <v>59</v>
      </c>
      <c r="F4">
        <v>0.14249999999999999</v>
      </c>
      <c r="G4">
        <v>0.14249999999999999</v>
      </c>
      <c r="H4">
        <f t="shared" ref="H4:H27" si="0">G4/100</f>
        <v>1.4249999999999998E-3</v>
      </c>
      <c r="K4">
        <v>1</v>
      </c>
      <c r="L4" t="str">
        <f>IF(K4,_xll.qlIRCurveOISRateHelper(E4,H4,D4),"")</f>
        <v>RHOIS@USSO1Z Curncy#07:55:38</v>
      </c>
      <c r="N4" s="2">
        <v>42186</v>
      </c>
      <c r="O4" t="str">
        <v>0.999996111126234</v>
      </c>
      <c r="P4" s="2"/>
      <c r="Q4" s="25">
        <f t="shared" ref="Q4:Q28" si="1">N4</f>
        <v>42186</v>
      </c>
    </row>
    <row r="5" spans="1:19" x14ac:dyDescent="0.25">
      <c r="C5" s="6">
        <v>3</v>
      </c>
      <c r="D5" s="6" t="s">
        <v>27</v>
      </c>
      <c r="E5" t="s">
        <v>60</v>
      </c>
      <c r="F5">
        <v>0.14249999999999999</v>
      </c>
      <c r="G5">
        <v>0.14249999999999999</v>
      </c>
      <c r="H5">
        <f t="shared" si="0"/>
        <v>1.4249999999999998E-3</v>
      </c>
      <c r="K5">
        <v>1</v>
      </c>
      <c r="L5" t="str">
        <f>IF(K5,_xll.qlIRCurveOISRateHelper(E5,H5,D5),"")</f>
        <v>RHOIS@USSO2Z Curncy#07:55:38</v>
      </c>
      <c r="N5" s="2">
        <v>42194</v>
      </c>
      <c r="O5" t="str">
        <v>0.999964445522788</v>
      </c>
      <c r="P5" s="2"/>
      <c r="Q5" s="25">
        <f t="shared" si="1"/>
        <v>42194</v>
      </c>
    </row>
    <row r="6" spans="1:19" x14ac:dyDescent="0.25">
      <c r="C6" s="6">
        <v>4</v>
      </c>
      <c r="D6" s="6" t="s">
        <v>28</v>
      </c>
      <c r="E6" t="s">
        <v>61</v>
      </c>
      <c r="F6">
        <v>0.13700000000000001</v>
      </c>
      <c r="G6">
        <v>0.13700000000000001</v>
      </c>
      <c r="H6">
        <f t="shared" si="0"/>
        <v>1.3700000000000001E-3</v>
      </c>
      <c r="K6">
        <v>1</v>
      </c>
      <c r="L6" t="str">
        <f>IF(K6,_xll.qlIRCurveOISRateHelper(E6,H6,D6),"")</f>
        <v>RHOIS@USSO3Z Curncy#07:55:38</v>
      </c>
      <c r="N6" s="2">
        <v>42201</v>
      </c>
      <c r="O6" t="str">
        <v>0.999936739709974</v>
      </c>
      <c r="P6" s="2"/>
      <c r="Q6" s="25">
        <f t="shared" si="1"/>
        <v>42201</v>
      </c>
    </row>
    <row r="7" spans="1:19" x14ac:dyDescent="0.25">
      <c r="C7" s="5">
        <v>5</v>
      </c>
      <c r="D7" s="5" t="s">
        <v>29</v>
      </c>
      <c r="E7" t="s">
        <v>62</v>
      </c>
      <c r="F7">
        <v>0.13700000000000001</v>
      </c>
      <c r="G7">
        <v>0.13700000000000001</v>
      </c>
      <c r="H7">
        <f t="shared" si="0"/>
        <v>1.3700000000000001E-3</v>
      </c>
      <c r="K7">
        <v>1</v>
      </c>
      <c r="L7" t="str">
        <f>IF(K7,_xll.qlIRCurveOISRateHelper(E7,H7,D7),"")</f>
        <v>RHOIS@USSOA Curncy#07:55:38</v>
      </c>
      <c r="N7" s="2">
        <v>42208</v>
      </c>
      <c r="O7" t="str">
        <v>0.999912243217728</v>
      </c>
      <c r="P7" s="2"/>
      <c r="Q7" s="25">
        <f t="shared" si="1"/>
        <v>42208</v>
      </c>
      <c r="R7">
        <v>0.99991224321772798</v>
      </c>
      <c r="S7" s="20">
        <f>O7-R7</f>
        <v>0</v>
      </c>
    </row>
    <row r="8" spans="1:19" x14ac:dyDescent="0.25">
      <c r="C8" s="5">
        <v>6</v>
      </c>
      <c r="D8" s="5" t="s">
        <v>30</v>
      </c>
      <c r="E8" t="s">
        <v>63</v>
      </c>
      <c r="F8">
        <v>0.16950000000000001</v>
      </c>
      <c r="G8">
        <v>0.16950000000000001</v>
      </c>
      <c r="H8">
        <f t="shared" si="0"/>
        <v>1.6950000000000001E-3</v>
      </c>
      <c r="K8">
        <v>1</v>
      </c>
      <c r="L8" t="str">
        <f>IF(K8,_xll.qlIRCurveOISRateHelper(E8,H8,D8),"")</f>
        <v>RHOIS@USSOB Curncy#07:55:38</v>
      </c>
      <c r="N8" s="2">
        <v>42219</v>
      </c>
      <c r="O8" t="str">
        <v>0.9998703908767</v>
      </c>
      <c r="P8" s="2"/>
      <c r="Q8" s="25">
        <f t="shared" si="1"/>
        <v>42219</v>
      </c>
    </row>
    <row r="9" spans="1:19" x14ac:dyDescent="0.25">
      <c r="C9" s="5">
        <v>7</v>
      </c>
      <c r="D9" s="5" t="s">
        <v>31</v>
      </c>
      <c r="E9" t="s">
        <v>64</v>
      </c>
      <c r="F9">
        <v>0.20349999999999999</v>
      </c>
      <c r="G9">
        <v>0.20349999999999999</v>
      </c>
      <c r="H9">
        <f t="shared" si="0"/>
        <v>2.0349999999999999E-3</v>
      </c>
      <c r="K9">
        <v>1</v>
      </c>
      <c r="L9" t="str">
        <f>IF(K9,_xll.qlIRCurveOISRateHelper(E9,H9,D9),"")</f>
        <v>RHOIS@USSOC Curncy#07:55:38</v>
      </c>
      <c r="N9" s="2">
        <v>42249</v>
      </c>
      <c r="O9" t="str">
        <v>0.999700323684811</v>
      </c>
      <c r="P9" s="2"/>
      <c r="Q9" s="25">
        <f t="shared" si="1"/>
        <v>42249</v>
      </c>
    </row>
    <row r="10" spans="1:19" x14ac:dyDescent="0.25">
      <c r="C10" s="5">
        <v>8</v>
      </c>
      <c r="D10" s="5" t="s">
        <v>32</v>
      </c>
      <c r="E10" t="s">
        <v>65</v>
      </c>
      <c r="F10">
        <v>0.2185</v>
      </c>
      <c r="G10">
        <v>0.2185</v>
      </c>
      <c r="H10">
        <f t="shared" si="0"/>
        <v>2.1849999999999999E-3</v>
      </c>
      <c r="K10">
        <v>1</v>
      </c>
      <c r="L10" t="str">
        <f>IF(K10,_xll.qlIRCurveOISRateHelper(E10,H10,D10),"")</f>
        <v>RHOIS@USSOD Curncy#07:55:38</v>
      </c>
      <c r="N10" s="2">
        <v>42279</v>
      </c>
      <c r="O10" t="str">
        <v>0.999472371711434</v>
      </c>
      <c r="P10" s="2"/>
      <c r="Q10" s="25">
        <f t="shared" si="1"/>
        <v>42279</v>
      </c>
    </row>
    <row r="11" spans="1:19" x14ac:dyDescent="0.25">
      <c r="C11" s="5">
        <v>9</v>
      </c>
      <c r="D11" s="5" t="s">
        <v>33</v>
      </c>
      <c r="E11" t="s">
        <v>66</v>
      </c>
      <c r="F11">
        <v>0.2455</v>
      </c>
      <c r="G11">
        <v>0.2455</v>
      </c>
      <c r="H11">
        <f t="shared" si="0"/>
        <v>2.4550000000000002E-3</v>
      </c>
      <c r="K11">
        <v>1</v>
      </c>
      <c r="L11" t="str">
        <f>IF(K11,_xll.qlIRCurveOISRateHelper(E11,H11,D11),"")</f>
        <v>RHOIS@USSOE Curncy#07:55:38</v>
      </c>
      <c r="N11" s="2">
        <v>42310</v>
      </c>
      <c r="O11" t="str">
        <v>0.999246173966843</v>
      </c>
      <c r="P11" s="2"/>
      <c r="Q11" s="25">
        <f t="shared" si="1"/>
        <v>42310</v>
      </c>
    </row>
    <row r="12" spans="1:19" x14ac:dyDescent="0.25">
      <c r="C12" s="5">
        <v>10</v>
      </c>
      <c r="D12" s="5" t="s">
        <v>34</v>
      </c>
      <c r="E12" t="s">
        <v>67</v>
      </c>
      <c r="F12">
        <v>0.27400000000000002</v>
      </c>
      <c r="G12">
        <v>0.27400000000000002</v>
      </c>
      <c r="H12">
        <f t="shared" si="0"/>
        <v>2.7400000000000002E-3</v>
      </c>
      <c r="K12">
        <v>1</v>
      </c>
      <c r="L12" t="str">
        <f>IF(K12,_xll.qlIRCurveOISRateHelper(E12,H12,D12),"")</f>
        <v>RHOIS@USSOF Curncy#07:55:38</v>
      </c>
      <c r="N12" s="2">
        <v>42340</v>
      </c>
      <c r="O12" t="str">
        <v>0.998949873546656</v>
      </c>
      <c r="P12" s="2"/>
      <c r="Q12" s="25">
        <f t="shared" si="1"/>
        <v>42340</v>
      </c>
    </row>
    <row r="13" spans="1:19" x14ac:dyDescent="0.25">
      <c r="C13" s="5">
        <v>11</v>
      </c>
      <c r="D13" s="5" t="s">
        <v>35</v>
      </c>
      <c r="E13" t="s">
        <v>68</v>
      </c>
      <c r="F13">
        <v>0.34949999999999998</v>
      </c>
      <c r="G13">
        <v>0.34949999999999998</v>
      </c>
      <c r="H13">
        <f t="shared" si="0"/>
        <v>3.4949999999999998E-3</v>
      </c>
      <c r="K13">
        <v>1</v>
      </c>
      <c r="L13" t="str">
        <f>IF(K13,_xll.qlIRCurveOISRateHelper(E13,H13,D13),"")</f>
        <v>RHOIS@USSOI Curncy#07:55:38</v>
      </c>
      <c r="N13" s="2">
        <v>42373</v>
      </c>
      <c r="O13" t="str">
        <v>0.998578498576484</v>
      </c>
      <c r="P13" s="2"/>
      <c r="Q13" s="25">
        <f t="shared" si="1"/>
        <v>42373</v>
      </c>
    </row>
    <row r="14" spans="1:19" x14ac:dyDescent="0.25">
      <c r="C14" s="5">
        <v>12</v>
      </c>
      <c r="D14" s="5" t="s">
        <v>36</v>
      </c>
      <c r="E14" t="s">
        <v>69</v>
      </c>
      <c r="F14">
        <v>0.432</v>
      </c>
      <c r="G14">
        <v>0.432</v>
      </c>
      <c r="H14">
        <f t="shared" si="0"/>
        <v>4.3200000000000001E-3</v>
      </c>
      <c r="K14">
        <v>1</v>
      </c>
      <c r="L14" t="str">
        <f>IF(K14,_xll.qlIRCurveOISRateHelper(E14,H14,D14),"")</f>
        <v>RHOIS@USSO1 Curncy#07:55:38</v>
      </c>
      <c r="N14" s="2">
        <v>42464</v>
      </c>
      <c r="O14" t="str">
        <v>0.997310178029292</v>
      </c>
      <c r="P14" s="2"/>
      <c r="Q14" s="25">
        <f t="shared" si="1"/>
        <v>42464</v>
      </c>
    </row>
    <row r="15" spans="1:19" x14ac:dyDescent="0.25">
      <c r="C15" s="5">
        <v>13</v>
      </c>
      <c r="D15" s="5" t="s">
        <v>37</v>
      </c>
      <c r="E15" t="s">
        <v>70</v>
      </c>
      <c r="F15">
        <v>0.60550000000000004</v>
      </c>
      <c r="G15">
        <v>0.60550000000000004</v>
      </c>
      <c r="H15">
        <f t="shared" si="0"/>
        <v>6.0550000000000005E-3</v>
      </c>
      <c r="K15">
        <v>1</v>
      </c>
      <c r="L15" t="str">
        <f>IF(K15,_xll.qlIRCurveOISRateHelper(E15,H15,D15),"")</f>
        <v>RHOIS@USSO1F Curncy#07:55:38</v>
      </c>
      <c r="N15" s="2">
        <v>42556</v>
      </c>
      <c r="O15" t="str">
        <v>0.995583708211008</v>
      </c>
      <c r="P15" s="2"/>
      <c r="Q15" s="25">
        <f t="shared" si="1"/>
        <v>42556</v>
      </c>
    </row>
    <row r="16" spans="1:19" x14ac:dyDescent="0.25">
      <c r="C16" s="6">
        <v>14</v>
      </c>
      <c r="D16" s="6" t="s">
        <v>38</v>
      </c>
      <c r="E16" t="s">
        <v>71</v>
      </c>
      <c r="F16">
        <v>0.77949999999999997</v>
      </c>
      <c r="G16">
        <v>0.77949999999999997</v>
      </c>
      <c r="H16">
        <f t="shared" si="0"/>
        <v>7.7949999999999998E-3</v>
      </c>
      <c r="K16">
        <v>1</v>
      </c>
      <c r="L16" t="str">
        <f>IF(K16,_xll.qlIRCurveOISRateHelper(E16,H16,D16),"")</f>
        <v>RHOIS@USSO2 Curncy#07:55:38</v>
      </c>
      <c r="N16" s="2">
        <v>42738</v>
      </c>
      <c r="O16" t="str">
        <v>0.990785653797996</v>
      </c>
      <c r="P16" s="2"/>
      <c r="Q16" s="25">
        <f t="shared" si="1"/>
        <v>42738</v>
      </c>
    </row>
    <row r="17" spans="3:17" x14ac:dyDescent="0.25">
      <c r="C17" s="6">
        <v>15</v>
      </c>
      <c r="D17" s="6" t="s">
        <v>39</v>
      </c>
      <c r="E17" t="s">
        <v>72</v>
      </c>
      <c r="F17">
        <v>1.0820000000000001</v>
      </c>
      <c r="G17">
        <v>1.0820000000000001</v>
      </c>
      <c r="H17">
        <f t="shared" si="0"/>
        <v>1.0820000000000001E-2</v>
      </c>
      <c r="K17">
        <v>1</v>
      </c>
      <c r="L17" t="str">
        <f>IF(K17,_xll.qlIRCurveOISRateHelper(E17,H17,D17),"")</f>
        <v>RHOIS@USSO3 Curncy#07:55:38</v>
      </c>
      <c r="N17" s="2">
        <v>42919</v>
      </c>
      <c r="O17" t="str">
        <v>0.98430099865345</v>
      </c>
      <c r="P17" s="2"/>
      <c r="Q17" s="25">
        <f t="shared" si="1"/>
        <v>42919</v>
      </c>
    </row>
    <row r="18" spans="3:17" x14ac:dyDescent="0.25">
      <c r="C18" s="6">
        <v>16</v>
      </c>
      <c r="D18" s="6" t="s">
        <v>40</v>
      </c>
      <c r="E18" t="s">
        <v>73</v>
      </c>
      <c r="F18">
        <v>1.337</v>
      </c>
      <c r="G18">
        <v>1.337</v>
      </c>
      <c r="H18">
        <f t="shared" si="0"/>
        <v>1.337E-2</v>
      </c>
      <c r="K18">
        <v>1</v>
      </c>
      <c r="L18" t="str">
        <f>IF(K18,_xll.qlIRCurveOISRateHelper(E18,H18,D18),"")</f>
        <v>RHOIS@USSO4 Curncy#07:55:38</v>
      </c>
      <c r="N18" s="2">
        <v>43283</v>
      </c>
      <c r="O18" t="str">
        <v>0.967625703584429</v>
      </c>
      <c r="P18" s="2"/>
      <c r="Q18" s="25">
        <f t="shared" si="1"/>
        <v>43283</v>
      </c>
    </row>
    <row r="19" spans="3:17" x14ac:dyDescent="0.25">
      <c r="C19" s="6">
        <v>17</v>
      </c>
      <c r="D19" s="6" t="s">
        <v>41</v>
      </c>
      <c r="E19" t="s">
        <v>74</v>
      </c>
      <c r="F19">
        <v>1.544</v>
      </c>
      <c r="G19">
        <v>1.544</v>
      </c>
      <c r="H19">
        <f t="shared" si="0"/>
        <v>1.5440000000000001E-2</v>
      </c>
      <c r="K19">
        <v>1</v>
      </c>
      <c r="L19" t="str">
        <f>IF(K19,_xll.qlIRCurveOISRateHelper(E19,H19,D19),"")</f>
        <v>RHOIS@USSO5 Curncy#07:55:38</v>
      </c>
      <c r="N19" s="2">
        <v>43648</v>
      </c>
      <c r="O19" t="str">
        <v>0.947158361775829</v>
      </c>
      <c r="P19" s="2"/>
      <c r="Q19" s="25">
        <f t="shared" si="1"/>
        <v>43648</v>
      </c>
    </row>
    <row r="20" spans="3:17" x14ac:dyDescent="0.25">
      <c r="C20" s="6">
        <v>18</v>
      </c>
      <c r="D20" s="6" t="s">
        <v>42</v>
      </c>
      <c r="E20" t="s">
        <v>75</v>
      </c>
      <c r="F20">
        <v>1.8465</v>
      </c>
      <c r="G20">
        <v>1.8465</v>
      </c>
      <c r="H20">
        <f t="shared" si="0"/>
        <v>1.8464999999999999E-2</v>
      </c>
      <c r="K20">
        <v>1</v>
      </c>
      <c r="L20" t="str">
        <f>IF(K20,_xll.qlIRCurveOISRateHelper(E20,H20,D20),"")</f>
        <v>RHOIS@USSO7 Curncy#07:55:38</v>
      </c>
      <c r="N20" s="2">
        <v>44014</v>
      </c>
      <c r="O20" t="str">
        <v>0.924466747877104</v>
      </c>
      <c r="P20" s="2"/>
      <c r="Q20" s="25">
        <f t="shared" si="1"/>
        <v>44014</v>
      </c>
    </row>
    <row r="21" spans="3:17" x14ac:dyDescent="0.25">
      <c r="C21" s="6">
        <v>19</v>
      </c>
      <c r="D21" s="6" t="s">
        <v>43</v>
      </c>
      <c r="E21" t="s">
        <v>76</v>
      </c>
      <c r="F21">
        <v>2.1280000000000001</v>
      </c>
      <c r="G21">
        <v>2.1280000000000001</v>
      </c>
      <c r="H21">
        <f t="shared" si="0"/>
        <v>2.128E-2</v>
      </c>
      <c r="K21">
        <v>1</v>
      </c>
      <c r="L21" t="str">
        <f>IF(K21,_xll.qlIRCurveOISRateHelper(E21,H21,D21),"")</f>
        <v>RHOIS@USSO10 Curncy#07:55:38</v>
      </c>
      <c r="N21" s="2">
        <v>44747</v>
      </c>
      <c r="O21" t="str">
        <v>0.876277709648857</v>
      </c>
      <c r="P21" s="2"/>
      <c r="Q21" s="25">
        <f t="shared" si="1"/>
        <v>44747</v>
      </c>
    </row>
    <row r="22" spans="3:17" x14ac:dyDescent="0.25">
      <c r="C22" s="6">
        <v>20</v>
      </c>
      <c r="D22" s="6" t="s">
        <v>44</v>
      </c>
      <c r="E22" t="s">
        <v>77</v>
      </c>
      <c r="F22">
        <v>2.2330000000000001</v>
      </c>
      <c r="G22">
        <v>2.2330000000000001</v>
      </c>
      <c r="H22">
        <f t="shared" si="0"/>
        <v>2.2330000000000003E-2</v>
      </c>
      <c r="K22">
        <v>1</v>
      </c>
      <c r="L22" t="str">
        <f>IF(K22,_xll.qlIRCurveOISRateHelper(E22,H22,D22),"")</f>
        <v>RHOIS@USSO12 Curncy#07:55:38</v>
      </c>
      <c r="N22" s="2">
        <v>45840</v>
      </c>
      <c r="O22" t="str">
        <v>0.803947634977835</v>
      </c>
      <c r="P22" s="2"/>
      <c r="Q22" s="25">
        <f t="shared" si="1"/>
        <v>45840</v>
      </c>
    </row>
    <row r="23" spans="3:17" x14ac:dyDescent="0.25">
      <c r="C23" s="6">
        <v>21</v>
      </c>
      <c r="D23" s="6" t="s">
        <v>45</v>
      </c>
      <c r="E23" t="s">
        <v>78</v>
      </c>
      <c r="F23">
        <v>2.3425000000000002</v>
      </c>
      <c r="G23">
        <v>2.3425000000000002</v>
      </c>
      <c r="H23">
        <f t="shared" si="0"/>
        <v>2.3425000000000001E-2</v>
      </c>
      <c r="K23">
        <v>1</v>
      </c>
      <c r="L23" t="str">
        <f>IF(K23,_xll.qlIRCurveOISRateHelper(E23,H23,D23),"")</f>
        <v>RHOIS@USSO15 Curncy#07:55:38</v>
      </c>
      <c r="N23" s="2">
        <v>46570</v>
      </c>
      <c r="O23" t="str">
        <v>0.759391730251528</v>
      </c>
      <c r="P23" s="2"/>
      <c r="Q23" s="25">
        <f t="shared" si="1"/>
        <v>46570</v>
      </c>
    </row>
    <row r="24" spans="3:17" x14ac:dyDescent="0.25">
      <c r="C24" s="6">
        <v>22</v>
      </c>
      <c r="D24" s="6" t="s">
        <v>46</v>
      </c>
      <c r="E24" t="s">
        <v>79</v>
      </c>
      <c r="F24">
        <v>2.4435000000000002</v>
      </c>
      <c r="G24">
        <v>2.4435000000000002</v>
      </c>
      <c r="H24">
        <f t="shared" si="0"/>
        <v>2.4435000000000002E-2</v>
      </c>
      <c r="K24">
        <v>1</v>
      </c>
      <c r="L24" t="str">
        <f>IF(K24,_xll.qlIRCurveOISRateHelper(E24,H24,D24),"")</f>
        <v>RHOIS@USSO20 Curncy#07:55:38</v>
      </c>
      <c r="N24" s="2">
        <v>47666</v>
      </c>
      <c r="O24" t="str">
        <v>0.696457458817257</v>
      </c>
      <c r="P24" s="2"/>
      <c r="Q24" s="25">
        <f t="shared" si="1"/>
        <v>47666</v>
      </c>
    </row>
    <row r="25" spans="3:17" x14ac:dyDescent="0.25">
      <c r="C25" s="6">
        <v>23</v>
      </c>
      <c r="D25" s="6" t="s">
        <v>47</v>
      </c>
      <c r="E25" t="s">
        <v>80</v>
      </c>
      <c r="F25">
        <v>2.4864999999999999</v>
      </c>
      <c r="G25">
        <v>2.4864999999999999</v>
      </c>
      <c r="H25">
        <f t="shared" si="0"/>
        <v>2.4864999999999998E-2</v>
      </c>
      <c r="K25">
        <v>1</v>
      </c>
      <c r="L25" t="str">
        <f>IF(K25,_xll.qlIRCurveOISRateHelper(E25,H25,D25),"")</f>
        <v>RHOIS@USSO25 Curncy#07:55:38</v>
      </c>
      <c r="N25" s="2">
        <v>49492</v>
      </c>
      <c r="O25" t="str">
        <v>0.604053397243571</v>
      </c>
      <c r="P25" s="2"/>
      <c r="Q25" s="25">
        <f t="shared" si="1"/>
        <v>49492</v>
      </c>
    </row>
    <row r="26" spans="3:17" x14ac:dyDescent="0.25">
      <c r="C26" s="6">
        <v>24</v>
      </c>
      <c r="D26" s="6" t="s">
        <v>48</v>
      </c>
      <c r="E26" t="s">
        <v>81</v>
      </c>
      <c r="F26">
        <v>2.5070000000000001</v>
      </c>
      <c r="G26">
        <v>2.5070000000000001</v>
      </c>
      <c r="H26">
        <f t="shared" si="0"/>
        <v>2.5070000000000002E-2</v>
      </c>
      <c r="K26">
        <v>1</v>
      </c>
      <c r="L26" t="str">
        <f>IF(K26,_xll.qlIRCurveOISRateHelper(E26,H26,D26),"")</f>
        <v>RHOIS@USSO30 Curncy#07:55:38</v>
      </c>
      <c r="N26" s="2">
        <v>51319</v>
      </c>
      <c r="O26" t="str">
        <v>0.526815080104923</v>
      </c>
      <c r="P26" s="2"/>
      <c r="Q26" s="25">
        <f t="shared" si="1"/>
        <v>51319</v>
      </c>
    </row>
    <row r="27" spans="3:17" x14ac:dyDescent="0.25">
      <c r="C27" s="6">
        <v>25</v>
      </c>
      <c r="D27" s="6" t="s">
        <v>49</v>
      </c>
      <c r="E27" t="s">
        <v>82</v>
      </c>
      <c r="F27">
        <v>2.5308000000000002</v>
      </c>
      <c r="G27">
        <v>2.5308000000000002</v>
      </c>
      <c r="H27">
        <f t="shared" si="0"/>
        <v>2.5308000000000001E-2</v>
      </c>
      <c r="K27">
        <v>1</v>
      </c>
      <c r="L27" t="str">
        <f>IF(K27,_xll.qlIRCurveOISRateHelper(E27,H27,D27),"")</f>
        <v>RHOIS@USSO40 Curncy#07:55:38</v>
      </c>
      <c r="N27" s="2">
        <v>53146</v>
      </c>
      <c r="O27" t="str">
        <v>0.461000687224288</v>
      </c>
      <c r="P27" s="2"/>
      <c r="Q27" s="25">
        <f t="shared" si="1"/>
        <v>53146</v>
      </c>
    </row>
    <row r="28" spans="3:17" x14ac:dyDescent="0.25">
      <c r="C28" s="6">
        <v>26</v>
      </c>
      <c r="D28" s="6" t="s">
        <v>50</v>
      </c>
      <c r="E28" t="s">
        <v>83</v>
      </c>
      <c r="K28">
        <v>0</v>
      </c>
      <c r="L28" t="str">
        <f>IF(K28,_xll.qlIRCurveOISFFBasisSwapHelper(E28,H28,0,D28),"")</f>
        <v/>
      </c>
      <c r="N28" s="2">
        <v>56797</v>
      </c>
      <c r="O28" t="str">
        <v>0.353361315869983</v>
      </c>
      <c r="P28" s="2"/>
      <c r="Q28" s="25">
        <f t="shared" si="1"/>
        <v>56797</v>
      </c>
    </row>
    <row r="29" spans="3:17" x14ac:dyDescent="0.25">
      <c r="N29" t="e">
        <v>#N/A</v>
      </c>
      <c r="O29" t="e">
        <v>#N/A</v>
      </c>
      <c r="P29" s="2"/>
      <c r="Q29" s="25"/>
    </row>
    <row r="33" spans="1:19" x14ac:dyDescent="0.25">
      <c r="C33" s="8" t="s">
        <v>159</v>
      </c>
      <c r="L33">
        <f>SUM(K34:K75)</f>
        <v>31</v>
      </c>
      <c r="N33" t="s">
        <v>24</v>
      </c>
      <c r="O33" t="str">
        <f>_xll.qlIRCurveLinearZero(C33,L34:L75)</f>
        <v>CRV@USDLIB3M#07:55:39</v>
      </c>
      <c r="Q33" t="str">
        <f>_xll.qlCurveIRIndex(C33,,O33)</f>
        <v>IDX@USDLIB3M#07:55:39</v>
      </c>
    </row>
    <row r="34" spans="1:19" x14ac:dyDescent="0.25">
      <c r="C34" s="6">
        <v>0</v>
      </c>
      <c r="D34" s="6" t="s">
        <v>9</v>
      </c>
      <c r="E34" s="1" t="s">
        <v>52</v>
      </c>
      <c r="F34">
        <v>0.1265</v>
      </c>
      <c r="G34">
        <v>0.1265</v>
      </c>
      <c r="I34">
        <f t="shared" ref="I34:I41" si="2">G34/100</f>
        <v>1.2650000000000001E-3</v>
      </c>
      <c r="N34" s="2">
        <f t="array" ref="N34:O68">_xll.qlIRCurveDisplayDiscountCurve(O33)</f>
        <v>42185</v>
      </c>
      <c r="O34" t="str">
        <v>1</v>
      </c>
      <c r="Q34" s="25">
        <f>N34</f>
        <v>42185</v>
      </c>
    </row>
    <row r="35" spans="1:19" x14ac:dyDescent="0.25">
      <c r="C35" s="6">
        <v>1</v>
      </c>
      <c r="D35" s="6" t="s">
        <v>10</v>
      </c>
      <c r="E35" s="1" t="s">
        <v>53</v>
      </c>
      <c r="F35">
        <v>0.17</v>
      </c>
      <c r="G35">
        <v>0.17</v>
      </c>
      <c r="I35">
        <f t="shared" si="2"/>
        <v>1.7000000000000001E-3</v>
      </c>
      <c r="N35" s="2">
        <v>42279</v>
      </c>
      <c r="O35" t="str">
        <v>0.99918885703374</v>
      </c>
      <c r="P35" s="2"/>
      <c r="Q35" s="25">
        <f t="shared" ref="Q35:Q68" si="3">N35</f>
        <v>42279</v>
      </c>
      <c r="R35">
        <v>0.99918885703373905</v>
      </c>
      <c r="S35">
        <f>R35-O35</f>
        <v>-9.9920072216264089E-16</v>
      </c>
    </row>
    <row r="36" spans="1:19" x14ac:dyDescent="0.25">
      <c r="C36" s="6">
        <v>1</v>
      </c>
      <c r="D36" s="6" t="s">
        <v>1</v>
      </c>
      <c r="E36" s="1" t="s">
        <v>54</v>
      </c>
      <c r="F36">
        <v>0.14899999999999999</v>
      </c>
      <c r="G36">
        <v>0.14899999999999999</v>
      </c>
      <c r="I36">
        <f t="shared" si="2"/>
        <v>1.49E-3</v>
      </c>
      <c r="N36" s="2">
        <v>42290</v>
      </c>
      <c r="O36" t="str">
        <v>0.999033933769539</v>
      </c>
      <c r="P36" s="2"/>
      <c r="Q36" s="25">
        <f t="shared" si="3"/>
        <v>42290</v>
      </c>
      <c r="R36">
        <v>0.99903392714088002</v>
      </c>
      <c r="S36">
        <f t="shared" ref="S36:S65" si="4">R36-O36</f>
        <v>-6.6286589550657027E-9</v>
      </c>
    </row>
    <row r="37" spans="1:19" x14ac:dyDescent="0.25">
      <c r="C37" s="7">
        <v>1</v>
      </c>
      <c r="D37" s="7" t="s">
        <v>2</v>
      </c>
      <c r="E37" s="1" t="s">
        <v>55</v>
      </c>
      <c r="F37">
        <v>0.19350000000000001</v>
      </c>
      <c r="G37">
        <v>0.19350000000000001</v>
      </c>
      <c r="I37">
        <f t="shared" si="2"/>
        <v>1.9350000000000001E-3</v>
      </c>
      <c r="N37" s="2">
        <v>42325</v>
      </c>
      <c r="O37" t="str">
        <v>0.998570324491673</v>
      </c>
      <c r="P37" s="2"/>
      <c r="Q37" s="25">
        <f t="shared" si="3"/>
        <v>42325</v>
      </c>
      <c r="R37">
        <v>0.99857031311310396</v>
      </c>
      <c r="S37">
        <f t="shared" si="4"/>
        <v>-1.1378569086950563E-8</v>
      </c>
    </row>
    <row r="38" spans="1:19" x14ac:dyDescent="0.25">
      <c r="C38" s="7">
        <v>2</v>
      </c>
      <c r="D38" s="7" t="s">
        <v>3</v>
      </c>
      <c r="E38" s="1" t="s">
        <v>56</v>
      </c>
      <c r="F38">
        <v>0.2505</v>
      </c>
      <c r="G38">
        <v>0.2505</v>
      </c>
      <c r="I38">
        <f t="shared" si="2"/>
        <v>2.5049999999999998E-3</v>
      </c>
      <c r="N38" s="2">
        <v>42353</v>
      </c>
      <c r="O38" t="str">
        <v>0.998167503391538</v>
      </c>
      <c r="P38" s="2"/>
      <c r="Q38" s="25">
        <f t="shared" si="3"/>
        <v>42353</v>
      </c>
      <c r="R38">
        <v>0.998167505884062</v>
      </c>
      <c r="S38">
        <f t="shared" si="4"/>
        <v>2.4925239650031017E-9</v>
      </c>
    </row>
    <row r="39" spans="1:19" x14ac:dyDescent="0.25">
      <c r="B39" s="2">
        <f>_xll.qlTimeAdvanceDate(B1,,"3M")</f>
        <v>42277</v>
      </c>
      <c r="C39" s="7">
        <v>3</v>
      </c>
      <c r="D39" s="7" t="s">
        <v>4</v>
      </c>
      <c r="E39" t="s">
        <v>51</v>
      </c>
      <c r="F39">
        <v>0.31090000000000001</v>
      </c>
      <c r="G39">
        <v>0.31090000000000001</v>
      </c>
      <c r="I39">
        <f t="shared" si="2"/>
        <v>3.1090000000000002E-3</v>
      </c>
      <c r="K39">
        <v>1</v>
      </c>
      <c r="L39" t="str">
        <f>IF(K39=1,_xll.qlIRCurveDepositRateHelper(D39,I39,C39&amp;"M",2),)</f>
        <v>RHDEP@3 MO#07:55:38</v>
      </c>
      <c r="N39" s="2">
        <v>42388</v>
      </c>
      <c r="O39" t="str">
        <v>0.997645067686956</v>
      </c>
      <c r="P39" s="2"/>
      <c r="Q39" s="25">
        <f t="shared" si="3"/>
        <v>42388</v>
      </c>
      <c r="R39">
        <v>0.99764506745485104</v>
      </c>
      <c r="S39">
        <f t="shared" si="4"/>
        <v>-2.3210500188497463E-10</v>
      </c>
    </row>
    <row r="40" spans="1:19" x14ac:dyDescent="0.25">
      <c r="C40" s="7">
        <v>6</v>
      </c>
      <c r="D40" s="7" t="s">
        <v>5</v>
      </c>
      <c r="E40" s="1" t="s">
        <v>57</v>
      </c>
      <c r="F40">
        <v>0.50375000000000003</v>
      </c>
      <c r="G40">
        <v>0.50375000000000003</v>
      </c>
      <c r="I40">
        <f t="shared" si="2"/>
        <v>5.0375000000000003E-3</v>
      </c>
      <c r="K40">
        <v>0</v>
      </c>
      <c r="N40" s="2">
        <v>42416</v>
      </c>
      <c r="O40" t="str">
        <v>0.997137335359234</v>
      </c>
      <c r="P40" s="2"/>
      <c r="Q40" s="25">
        <f t="shared" si="3"/>
        <v>42416</v>
      </c>
      <c r="R40">
        <v>0.99713732200241301</v>
      </c>
      <c r="S40">
        <f t="shared" si="4"/>
        <v>-1.335682098257962E-8</v>
      </c>
    </row>
    <row r="41" spans="1:19" x14ac:dyDescent="0.25">
      <c r="A41" t="s">
        <v>183</v>
      </c>
      <c r="B41" s="2" t="s">
        <v>184</v>
      </c>
      <c r="C41" s="7">
        <v>12</v>
      </c>
      <c r="D41" s="7" t="s">
        <v>6</v>
      </c>
      <c r="E41" s="1" t="s">
        <v>58</v>
      </c>
      <c r="F41">
        <v>0.83184999999999998</v>
      </c>
      <c r="G41">
        <v>0.83184999999999998</v>
      </c>
      <c r="I41">
        <f t="shared" si="2"/>
        <v>8.3184999999999995E-3</v>
      </c>
      <c r="J41" t="s">
        <v>165</v>
      </c>
      <c r="K41">
        <v>0</v>
      </c>
      <c r="N41" s="2">
        <v>42444</v>
      </c>
      <c r="O41" t="str">
        <v>0.996598775088026</v>
      </c>
      <c r="P41" s="2"/>
      <c r="Q41" s="25">
        <f t="shared" si="3"/>
        <v>42444</v>
      </c>
      <c r="R41">
        <v>0.99659877812080899</v>
      </c>
      <c r="S41">
        <f t="shared" si="4"/>
        <v>3.0327830247145471E-9</v>
      </c>
    </row>
    <row r="42" spans="1:19" x14ac:dyDescent="0.25">
      <c r="A42" s="2">
        <f>_xll.qlTimeAdvanceDate(B42,,"-3M")</f>
        <v>42206</v>
      </c>
      <c r="B42" s="2">
        <f>_xll.qlTimeNextIMMDate(B39,FALSE)</f>
        <v>42298</v>
      </c>
      <c r="C42" s="6">
        <f>(YEAR(A42)-YEAR($A$42))*12+(MONTH(A42)-MONTH($A$42))+1</f>
        <v>1</v>
      </c>
      <c r="D42" s="6" t="str">
        <f>UPPER(TEXT(A42,"mmm"))&amp;" "&amp;RIGHT(YEAR(A42),2)&amp;"+3"</f>
        <v>JUL 15+3</v>
      </c>
      <c r="E42" t="str">
        <f>GetEDTicker(D42)</f>
        <v>EDN5 Comdty</v>
      </c>
      <c r="F42">
        <v>99.665000000000006</v>
      </c>
      <c r="G42" s="21">
        <v>4.2656249999999995E-3</v>
      </c>
      <c r="I42">
        <f t="shared" ref="I42:I57" si="5">F42</f>
        <v>99.665000000000006</v>
      </c>
      <c r="J42" s="22">
        <f>G42/100</f>
        <v>4.2656249999999997E-5</v>
      </c>
      <c r="K42">
        <v>1</v>
      </c>
      <c r="L42" t="str">
        <f>IF(K42=1,_xll.qlIRCurveFuturesRateHelper(D42,I42,J42/100,C42),"")</f>
        <v>RHED@JUL 15+3#07:55:38</v>
      </c>
      <c r="N42" s="2">
        <v>42535</v>
      </c>
      <c r="O42" t="str">
        <v>0.994718454727749</v>
      </c>
      <c r="P42" s="2"/>
      <c r="Q42" s="25">
        <f t="shared" si="3"/>
        <v>42535</v>
      </c>
      <c r="R42">
        <v>0.99471846991134005</v>
      </c>
      <c r="S42">
        <f t="shared" si="4"/>
        <v>1.5183591051126655E-8</v>
      </c>
    </row>
    <row r="43" spans="1:19" x14ac:dyDescent="0.25">
      <c r="A43" s="2">
        <f>_xll.qlTimeAdvanceDate(B43,,"-3M")</f>
        <v>42234</v>
      </c>
      <c r="B43" s="2">
        <f>_xll.qlTimeNextIMMDate(B42,FALSE)</f>
        <v>42326</v>
      </c>
      <c r="C43" s="6">
        <f t="shared" ref="C43:C57" si="6">(YEAR(A43)-YEAR($A$42))*12+(MONTH(A43)-MONTH($A$42))+1</f>
        <v>2</v>
      </c>
      <c r="D43" s="6" t="str">
        <f t="shared" ref="D43:D57" si="7">UPPER(TEXT(A43,"mmm"))&amp;" "&amp;RIGHT(YEAR(A43),2)&amp;"+3"</f>
        <v>AUG 15+3</v>
      </c>
      <c r="E43" t="str">
        <f t="shared" ref="E43:E57" si="8">GetEDTicker(D43)</f>
        <v>EDQ5 Comdty</v>
      </c>
      <c r="F43">
        <v>99.6</v>
      </c>
      <c r="G43" s="21">
        <v>1.745625E-2</v>
      </c>
      <c r="I43">
        <f t="shared" si="5"/>
        <v>99.6</v>
      </c>
      <c r="J43" s="22">
        <f>IF(G43="",(100-F43-#REF!),G43/100)</f>
        <v>1.7456249999999999E-4</v>
      </c>
      <c r="K43">
        <v>1</v>
      </c>
      <c r="L43" t="str">
        <f>IF(K43=1,_xll.qlIRCurveFuturesRateHelper(D43,I43,J43/100,C43),"")</f>
        <v>RHED@AUG 15+3#07:55:39</v>
      </c>
      <c r="N43" s="2">
        <v>42626</v>
      </c>
      <c r="O43" t="str">
        <v>0.992345807575938</v>
      </c>
      <c r="P43" s="2"/>
      <c r="Q43" s="25">
        <f t="shared" si="3"/>
        <v>42626</v>
      </c>
      <c r="R43">
        <v>0.99713732200241301</v>
      </c>
      <c r="S43">
        <f t="shared" si="4"/>
        <v>4.7915144264749632E-3</v>
      </c>
    </row>
    <row r="44" spans="1:19" x14ac:dyDescent="0.25">
      <c r="A44" s="2">
        <f>_xll.qlTimeAdvanceDate(B44,,"-3M")</f>
        <v>42263</v>
      </c>
      <c r="B44" s="2">
        <f>_xll.qlTimeNextIMMDate(B43,FALSE)</f>
        <v>42354</v>
      </c>
      <c r="C44" s="6">
        <f t="shared" si="6"/>
        <v>3</v>
      </c>
      <c r="D44" s="6" t="str">
        <f t="shared" si="7"/>
        <v>SEP 15+3</v>
      </c>
      <c r="E44" t="str">
        <f t="shared" si="8"/>
        <v>EDU5 Comdty</v>
      </c>
      <c r="F44">
        <v>99.534999999999997</v>
      </c>
      <c r="G44" s="21">
        <v>3.9899999999999998E-2</v>
      </c>
      <c r="I44">
        <f t="shared" si="5"/>
        <v>99.534999999999997</v>
      </c>
      <c r="J44" s="22">
        <f>IF(G44="",(100-F44-#REF!),G44/100)</f>
        <v>3.9899999999999999E-4</v>
      </c>
      <c r="K44">
        <v>1</v>
      </c>
      <c r="L44" t="str">
        <f>IF(K44=1,_xll.qlIRCurveFuturesRateHelper(D44,I44,J44/100,C44),"")</f>
        <v>RHED@SEP 15+3#07:55:39</v>
      </c>
      <c r="N44" s="2">
        <v>42724</v>
      </c>
      <c r="O44" t="str">
        <v>0.98922570354092</v>
      </c>
      <c r="P44" s="2"/>
      <c r="Q44" s="25">
        <f t="shared" si="3"/>
        <v>42724</v>
      </c>
      <c r="R44">
        <v>0.98922569863631105</v>
      </c>
      <c r="S44">
        <f t="shared" si="4"/>
        <v>-4.9046089412030369E-9</v>
      </c>
    </row>
    <row r="45" spans="1:19" x14ac:dyDescent="0.25">
      <c r="A45" s="2">
        <f>_xll.qlTimeAdvanceDate(B45,,"-3M")</f>
        <v>42297</v>
      </c>
      <c r="B45" s="2">
        <f>_xll.qlTimeNextIMMDate(B44,FALSE)</f>
        <v>42389</v>
      </c>
      <c r="C45" s="6">
        <f t="shared" si="6"/>
        <v>4</v>
      </c>
      <c r="D45" s="6" t="str">
        <f t="shared" si="7"/>
        <v>OCT 15+3</v>
      </c>
      <c r="E45" t="str">
        <f t="shared" si="8"/>
        <v>EDV5 Comdty</v>
      </c>
      <c r="F45">
        <v>99.484999999999999</v>
      </c>
      <c r="G45" s="21">
        <v>6.3699999999999979E-2</v>
      </c>
      <c r="I45">
        <f t="shared" si="5"/>
        <v>99.484999999999999</v>
      </c>
      <c r="J45" s="22">
        <f>IF(G45="",(100-F45-#REF!),G45/100)</f>
        <v>6.3699999999999976E-4</v>
      </c>
      <c r="K45">
        <v>1</v>
      </c>
      <c r="L45" t="str">
        <f>IF(K45=1,_xll.qlIRCurveFuturesRateHelper(D45,I45,J45/100,C45),"")</f>
        <v>RHED@OCT 15+3#07:55:39</v>
      </c>
      <c r="N45" s="2">
        <v>42815</v>
      </c>
      <c r="O45" t="str">
        <v>0.985822026018349</v>
      </c>
      <c r="P45" s="2"/>
      <c r="Q45" s="25">
        <f t="shared" si="3"/>
        <v>42815</v>
      </c>
      <c r="S45">
        <f t="shared" si="4"/>
        <v>-0.98582202601834901</v>
      </c>
    </row>
    <row r="46" spans="1:19" x14ac:dyDescent="0.25">
      <c r="A46" s="2">
        <f>_xll.qlTimeAdvanceDate(B46,,"-3M")</f>
        <v>42325</v>
      </c>
      <c r="B46" s="2">
        <f>_xll.qlTimeNextIMMDate(B45,FALSE)</f>
        <v>42417</v>
      </c>
      <c r="C46" s="6">
        <f t="shared" si="6"/>
        <v>5</v>
      </c>
      <c r="D46" s="6" t="str">
        <f t="shared" si="7"/>
        <v>NOV 15+3</v>
      </c>
      <c r="E46" t="str">
        <f t="shared" si="8"/>
        <v>EDX5 Comdty</v>
      </c>
      <c r="F46">
        <v>99.43</v>
      </c>
      <c r="G46" s="21">
        <v>9.3100000000000002E-2</v>
      </c>
      <c r="I46">
        <f t="shared" si="5"/>
        <v>99.43</v>
      </c>
      <c r="J46" s="22">
        <f>IF(G46="",(100-F46-#REF!),G46/100)</f>
        <v>9.3099999999999997E-4</v>
      </c>
      <c r="K46">
        <v>1</v>
      </c>
      <c r="L46" t="str">
        <f>IF(K46=1,_xll.qlIRCurveFuturesRateHelper(D46,I46,J46/100,C46),"")</f>
        <v>RHED@NOV 15+3#07:55:39</v>
      </c>
      <c r="N46" s="2">
        <v>42899</v>
      </c>
      <c r="O46" t="str">
        <v>0.982271053208232</v>
      </c>
      <c r="P46" s="2"/>
      <c r="Q46" s="25">
        <f t="shared" si="3"/>
        <v>42899</v>
      </c>
      <c r="S46">
        <f t="shared" si="4"/>
        <v>-0.98227105320823205</v>
      </c>
    </row>
    <row r="47" spans="1:19" x14ac:dyDescent="0.25">
      <c r="A47" s="2">
        <f>_xll.qlTimeAdvanceDate(B47,,"-3M")</f>
        <v>42354</v>
      </c>
      <c r="B47" s="2">
        <f>_xll.qlTimeNextIMMDate(B46,FALSE)</f>
        <v>42445</v>
      </c>
      <c r="C47" s="9">
        <f t="shared" si="6"/>
        <v>6</v>
      </c>
      <c r="D47" s="6" t="str">
        <f t="shared" si="7"/>
        <v>DEC 15+3</v>
      </c>
      <c r="E47" t="str">
        <f t="shared" si="8"/>
        <v>EDZ5 Comdty</v>
      </c>
      <c r="F47">
        <v>99.375</v>
      </c>
      <c r="G47" s="21">
        <v>0.13597499999999998</v>
      </c>
      <c r="I47">
        <f t="shared" si="5"/>
        <v>99.375</v>
      </c>
      <c r="J47" s="22">
        <f>IF(G47="",(100-F47-#REF!),G47/100)</f>
        <v>1.3597499999999998E-3</v>
      </c>
      <c r="K47">
        <v>1</v>
      </c>
      <c r="L47" t="str">
        <f>IF(K47=1,_xll.qlIRCurveFuturesRateHelper(D47,I47,J47/100,C47),"")</f>
        <v>RHED@DEC 15+3#07:55:39</v>
      </c>
      <c r="N47" s="2">
        <v>42997</v>
      </c>
      <c r="O47" t="str">
        <v>0.977736486491349</v>
      </c>
      <c r="P47" s="2"/>
      <c r="Q47" s="25">
        <f t="shared" si="3"/>
        <v>42997</v>
      </c>
      <c r="S47">
        <f t="shared" si="4"/>
        <v>-0.97773648649134903</v>
      </c>
    </row>
    <row r="48" spans="1:19" x14ac:dyDescent="0.25">
      <c r="A48" s="2">
        <f>_xll.qlTimeAdvanceDate(B48,,"-3M")</f>
        <v>42444</v>
      </c>
      <c r="B48" s="2">
        <f>_xll.qlTimeNextIMMDate(B47,TRUE)</f>
        <v>42536</v>
      </c>
      <c r="C48" s="6">
        <f t="shared" si="6"/>
        <v>9</v>
      </c>
      <c r="D48" s="6" t="str">
        <f t="shared" si="7"/>
        <v>MAR 16+3</v>
      </c>
      <c r="E48" t="str">
        <f t="shared" si="8"/>
        <v>EDH6 Comdty</v>
      </c>
      <c r="F48">
        <v>99.25</v>
      </c>
      <c r="G48" s="21">
        <v>0.21951562499999996</v>
      </c>
      <c r="I48">
        <f t="shared" si="5"/>
        <v>99.25</v>
      </c>
      <c r="J48" s="22">
        <f>IF(G48="",(100-F48-#REF!),G48/100)</f>
        <v>2.1951562499999996E-3</v>
      </c>
      <c r="K48">
        <v>1</v>
      </c>
      <c r="L48" t="str">
        <f>IF(K48=1,_xll.qlIRCurveFuturesRateHelper(D48,I48,J48/100,C48),"")</f>
        <v>RHED@MAR 16+3#07:55:39</v>
      </c>
      <c r="N48" s="2">
        <v>43088</v>
      </c>
      <c r="O48" t="str">
        <v>0.973200255111598</v>
      </c>
      <c r="P48" s="2"/>
      <c r="Q48" s="25">
        <f t="shared" si="3"/>
        <v>43088</v>
      </c>
      <c r="S48">
        <f t="shared" si="4"/>
        <v>-0.97320025511159802</v>
      </c>
    </row>
    <row r="49" spans="1:19" x14ac:dyDescent="0.25">
      <c r="A49" s="2">
        <f>_xll.qlTimeAdvanceDate(B49,,"-3M")</f>
        <v>42542</v>
      </c>
      <c r="B49" s="2">
        <f>_xll.qlTimeNextIMMDate(B48,TRUE)</f>
        <v>42634</v>
      </c>
      <c r="C49" s="6">
        <f t="shared" si="6"/>
        <v>12</v>
      </c>
      <c r="D49" s="6" t="str">
        <f t="shared" si="7"/>
        <v>JUN 16+3</v>
      </c>
      <c r="E49" t="str">
        <f t="shared" si="8"/>
        <v>EDM6 Comdty</v>
      </c>
      <c r="F49">
        <v>99.05</v>
      </c>
      <c r="G49" s="21">
        <v>0.41429062499999991</v>
      </c>
      <c r="I49">
        <f t="shared" si="5"/>
        <v>99.05</v>
      </c>
      <c r="J49" s="22">
        <f>IF(G49="",(100-F49-#REF!),G49/100)</f>
        <v>4.142906249999999E-3</v>
      </c>
      <c r="K49">
        <v>1</v>
      </c>
      <c r="L49" t="str">
        <f>IF(K49=1,_xll.qlIRCurveFuturesRateHelper(D49,I49,J49/100,C49),"")</f>
        <v>RHED@JUN 16+3#07:55:39</v>
      </c>
      <c r="N49" s="2">
        <v>43179</v>
      </c>
      <c r="O49" t="str">
        <v>0.968356052803533</v>
      </c>
      <c r="P49" s="2"/>
      <c r="Q49" s="25">
        <f t="shared" si="3"/>
        <v>43179</v>
      </c>
      <c r="S49">
        <f t="shared" si="4"/>
        <v>-0.96835605280353299</v>
      </c>
    </row>
    <row r="50" spans="1:19" x14ac:dyDescent="0.25">
      <c r="A50" s="2">
        <f>_xll.qlTimeAdvanceDate(B50,,"-3M")</f>
        <v>42634</v>
      </c>
      <c r="B50" s="2">
        <f>_xll.qlTimeNextIMMDate(B49,TRUE)</f>
        <v>42725</v>
      </c>
      <c r="C50" s="6">
        <f t="shared" si="6"/>
        <v>15</v>
      </c>
      <c r="D50" s="6" t="str">
        <f t="shared" si="7"/>
        <v>SEP 16+3</v>
      </c>
      <c r="E50" t="str">
        <f t="shared" si="8"/>
        <v>EDU6 Comdty</v>
      </c>
      <c r="F50">
        <v>98.834999999999994</v>
      </c>
      <c r="G50" s="21">
        <v>0.6504749999999998</v>
      </c>
      <c r="I50">
        <f t="shared" si="5"/>
        <v>98.834999999999994</v>
      </c>
      <c r="J50" s="22">
        <f>IF(G50="",(100-F50-#REF!),G50/100)</f>
        <v>6.5047499999999984E-3</v>
      </c>
      <c r="K50">
        <v>1</v>
      </c>
      <c r="L50" t="str">
        <f>IF(K50=1,_xll.qlIRCurveFuturesRateHelper(D50,I50,J50/100,C50),"")</f>
        <v>RHED@SEP 16+3#07:55:39</v>
      </c>
      <c r="N50" s="2">
        <v>43270</v>
      </c>
      <c r="O50" t="str">
        <v>0.96327038717404</v>
      </c>
      <c r="P50" s="2"/>
      <c r="Q50" s="25">
        <f t="shared" si="3"/>
        <v>43270</v>
      </c>
      <c r="S50">
        <f t="shared" si="4"/>
        <v>-0.96327038717404001</v>
      </c>
    </row>
    <row r="51" spans="1:19" x14ac:dyDescent="0.25">
      <c r="A51" s="2">
        <f>_xll.qlTimeAdvanceDate(B51,,"-3M")</f>
        <v>42719</v>
      </c>
      <c r="B51" s="2">
        <f>_xll.qlTimeNextIMMDate(B50,TRUE)</f>
        <v>42809</v>
      </c>
      <c r="C51" s="6">
        <f t="shared" si="6"/>
        <v>18</v>
      </c>
      <c r="D51" s="6" t="str">
        <f t="shared" si="7"/>
        <v>DEC 16+3</v>
      </c>
      <c r="E51" t="str">
        <f t="shared" si="8"/>
        <v>EDZ6 Comdty</v>
      </c>
      <c r="F51">
        <v>98.625</v>
      </c>
      <c r="G51" s="21">
        <v>0.91507499999999986</v>
      </c>
      <c r="I51">
        <f t="shared" si="5"/>
        <v>98.625</v>
      </c>
      <c r="J51" s="22">
        <f>IF(G51="",(100-F51-#REF!),G51/100)</f>
        <v>9.1507499999999992E-3</v>
      </c>
      <c r="K51">
        <v>1</v>
      </c>
      <c r="L51" t="str">
        <f>IF(K51=1,_xll.qlIRCurveFuturesRateHelper(D51,I51,J51/100,C51),"")</f>
        <v>RHED@DEC 16+3#07:55:39</v>
      </c>
      <c r="N51" s="2">
        <v>43361</v>
      </c>
      <c r="O51" t="str">
        <v>0.957960826620498</v>
      </c>
      <c r="P51" s="2"/>
      <c r="Q51" s="25">
        <f t="shared" si="3"/>
        <v>43361</v>
      </c>
      <c r="R51">
        <v>0.95796078778365401</v>
      </c>
      <c r="S51">
        <f t="shared" si="4"/>
        <v>-3.8836843962997136E-8</v>
      </c>
    </row>
    <row r="52" spans="1:19" x14ac:dyDescent="0.25">
      <c r="A52" s="2">
        <f>_xll.qlTimeAdvanceDate(B52,,"-3M")</f>
        <v>42815</v>
      </c>
      <c r="B52" s="2">
        <f>_xll.qlTimeNextIMMDate(B51,TRUE)</f>
        <v>42907</v>
      </c>
      <c r="C52" s="6">
        <f t="shared" si="6"/>
        <v>21</v>
      </c>
      <c r="D52" s="6" t="str">
        <f t="shared" si="7"/>
        <v>MAR 17+3</v>
      </c>
      <c r="E52" t="str">
        <f t="shared" si="8"/>
        <v>EDH7 Comdty</v>
      </c>
      <c r="F52">
        <v>98.45</v>
      </c>
      <c r="G52" s="21">
        <v>1.2733874999999997</v>
      </c>
      <c r="I52">
        <f t="shared" si="5"/>
        <v>98.45</v>
      </c>
      <c r="J52" s="22">
        <f>IF(G52="",(100-F52-#REF!),G52/100)</f>
        <v>1.2733874999999997E-2</v>
      </c>
      <c r="K52">
        <v>1</v>
      </c>
      <c r="L52" t="str">
        <f>IF(K52=1,_xll.qlIRCurveFuturesRateHelper(D52,I52,J52/100,C52),"")</f>
        <v>RHED@MAR 17+3#07:55:39</v>
      </c>
      <c r="N52" s="2">
        <v>43648</v>
      </c>
      <c r="O52" t="str">
        <v>0.939168763607876</v>
      </c>
      <c r="P52" s="2"/>
      <c r="Q52" s="25">
        <f t="shared" si="3"/>
        <v>43648</v>
      </c>
      <c r="S52">
        <f t="shared" si="4"/>
        <v>-0.93916876360787604</v>
      </c>
    </row>
    <row r="53" spans="1:19" x14ac:dyDescent="0.25">
      <c r="A53" s="2">
        <f>_xll.qlTimeAdvanceDate(B53,,"-3M")</f>
        <v>42906</v>
      </c>
      <c r="B53" s="2">
        <f>_xll.qlTimeNextIMMDate(B52,TRUE)</f>
        <v>42998</v>
      </c>
      <c r="C53" s="6">
        <f t="shared" si="6"/>
        <v>24</v>
      </c>
      <c r="D53" s="6" t="str">
        <f t="shared" si="7"/>
        <v>JUN 17+3</v>
      </c>
      <c r="E53" t="str">
        <f t="shared" si="8"/>
        <v>EDM7 Comdty</v>
      </c>
      <c r="F53">
        <v>98.28</v>
      </c>
      <c r="G53" s="21">
        <v>1.6632656249999995</v>
      </c>
      <c r="I53">
        <f t="shared" si="5"/>
        <v>98.28</v>
      </c>
      <c r="J53" s="22">
        <f>IF(G53="",(100-F53-#REF!),G53/100)</f>
        <v>1.6632656249999996E-2</v>
      </c>
      <c r="K53">
        <v>1</v>
      </c>
      <c r="L53" t="str">
        <f>IF(K53=1,_xll.qlIRCurveFuturesRateHelper(D53,I53,J53/100,C53),"")</f>
        <v>RHED@JUN 17+3#07:55:39</v>
      </c>
      <c r="N53" s="2">
        <v>44014</v>
      </c>
      <c r="O53" t="str">
        <v>0.914626417140824</v>
      </c>
      <c r="P53" s="2"/>
      <c r="Q53" s="25">
        <f t="shared" si="3"/>
        <v>44014</v>
      </c>
      <c r="S53">
        <f t="shared" si="4"/>
        <v>-0.91462641714082404</v>
      </c>
    </row>
    <row r="54" spans="1:19" x14ac:dyDescent="0.25">
      <c r="A54" s="2">
        <f>_xll.qlTimeAdvanceDate(B54,,"-3M")</f>
        <v>42998</v>
      </c>
      <c r="B54" s="2">
        <f>_xll.qlTimeNextIMMDate(B53,TRUE)</f>
        <v>43089</v>
      </c>
      <c r="C54" s="6">
        <f t="shared" si="6"/>
        <v>27</v>
      </c>
      <c r="D54" s="6" t="str">
        <f t="shared" si="7"/>
        <v>SEP 17+3</v>
      </c>
      <c r="E54" t="str">
        <f t="shared" si="8"/>
        <v>EDU7 Comdty</v>
      </c>
      <c r="F54">
        <v>98.135000000000005</v>
      </c>
      <c r="G54" s="21">
        <v>2.1076124999999997</v>
      </c>
      <c r="I54">
        <f t="shared" si="5"/>
        <v>98.135000000000005</v>
      </c>
      <c r="J54" s="22">
        <f>IF(G54="",(100-F54-#REF!),G54/100)</f>
        <v>2.1076124999999998E-2</v>
      </c>
      <c r="K54">
        <v>1</v>
      </c>
      <c r="L54" t="str">
        <f>IF(K54=1,_xll.qlIRCurveFuturesRateHelper(D54,I54,J54/100,C54),"")</f>
        <v>RHED@SEP 17+3#07:55:39</v>
      </c>
      <c r="N54" s="2">
        <v>44379</v>
      </c>
      <c r="O54" t="str">
        <v>0.889012804135332</v>
      </c>
      <c r="P54" s="2"/>
      <c r="Q54" s="25">
        <f t="shared" si="3"/>
        <v>44379</v>
      </c>
      <c r="R54">
        <v>0.88901280490200396</v>
      </c>
      <c r="S54">
        <f t="shared" si="4"/>
        <v>7.6667194814916684E-10</v>
      </c>
    </row>
    <row r="55" spans="1:19" x14ac:dyDescent="0.25">
      <c r="A55" s="2">
        <f>_xll.qlTimeAdvanceDate(B55,,"-3M")</f>
        <v>43090</v>
      </c>
      <c r="B55" s="2">
        <f>_xll.qlTimeNextIMMDate(B54,TRUE)</f>
        <v>43180</v>
      </c>
      <c r="C55" s="6">
        <f t="shared" si="6"/>
        <v>30</v>
      </c>
      <c r="D55" s="6" t="str">
        <f t="shared" si="7"/>
        <v>DEC 17+3</v>
      </c>
      <c r="E55" t="str">
        <f t="shared" si="8"/>
        <v>EDZ7 Comdty</v>
      </c>
      <c r="F55">
        <v>97.995000000000005</v>
      </c>
      <c r="G55" s="21">
        <v>2.6042843749999993</v>
      </c>
      <c r="I55">
        <f t="shared" si="5"/>
        <v>97.995000000000005</v>
      </c>
      <c r="J55" s="22">
        <f>IF(G55="",(100-F55-#REF!),G55/100)</f>
        <v>2.6042843749999992E-2</v>
      </c>
      <c r="K55">
        <v>1</v>
      </c>
      <c r="L55" t="str">
        <f>IF(K55=1,_xll.qlIRCurveFuturesRateHelper(D55,I55,J55/100,C55),"")</f>
        <v>RHED@DEC 17+3#07:55:39</v>
      </c>
      <c r="N55" s="2">
        <v>44747</v>
      </c>
      <c r="O55" t="str">
        <v>0.862986442151124</v>
      </c>
      <c r="P55" s="2"/>
      <c r="Q55" s="25">
        <f t="shared" si="3"/>
        <v>44747</v>
      </c>
      <c r="R55">
        <v>0.86298644289535198</v>
      </c>
      <c r="S55">
        <f t="shared" si="4"/>
        <v>7.4422801255025206E-10</v>
      </c>
    </row>
    <row r="56" spans="1:19" x14ac:dyDescent="0.25">
      <c r="A56" s="2">
        <f>_xll.qlTimeAdvanceDate(B56,,"-3M")</f>
        <v>43179</v>
      </c>
      <c r="B56" s="2">
        <f>_xll.qlTimeNextIMMDate(B55,TRUE)</f>
        <v>43271</v>
      </c>
      <c r="C56" s="6">
        <f t="shared" si="6"/>
        <v>33</v>
      </c>
      <c r="D56" s="6" t="str">
        <f t="shared" si="7"/>
        <v>MAR 18+3</v>
      </c>
      <c r="E56" t="str">
        <f t="shared" si="8"/>
        <v>EDH8 Comdty</v>
      </c>
      <c r="F56">
        <v>97.88</v>
      </c>
      <c r="G56" s="21">
        <v>3.1434374999999988</v>
      </c>
      <c r="I56">
        <f t="shared" si="5"/>
        <v>97.88</v>
      </c>
      <c r="J56" s="22">
        <f>IF(G56="",(100-F56-#REF!),G56/100)</f>
        <v>3.1434374999999987E-2</v>
      </c>
      <c r="K56">
        <v>1</v>
      </c>
      <c r="L56" t="str">
        <f>IF(K56=1,_xll.qlIRCurveFuturesRateHelper(D56,I56,J56/100,C56),"")</f>
        <v>RHED@MAR 18+3#07:55:39</v>
      </c>
      <c r="N56" s="2">
        <v>45110</v>
      </c>
      <c r="O56" t="str">
        <v>0.837251145864629</v>
      </c>
      <c r="P56" s="2"/>
      <c r="Q56" s="25">
        <f t="shared" si="3"/>
        <v>45110</v>
      </c>
      <c r="S56">
        <f t="shared" si="4"/>
        <v>-0.83725114586462901</v>
      </c>
    </row>
    <row r="57" spans="1:19" x14ac:dyDescent="0.25">
      <c r="A57" s="2">
        <f>_xll.qlTimeAdvanceDate(B57,,"-3M")</f>
        <v>43270</v>
      </c>
      <c r="B57" s="2">
        <f>_xll.qlTimeNextIMMDate(B56,TRUE)</f>
        <v>43362</v>
      </c>
      <c r="C57" s="6">
        <f t="shared" si="6"/>
        <v>36</v>
      </c>
      <c r="D57" s="6" t="str">
        <f t="shared" si="7"/>
        <v>JUN 18+3</v>
      </c>
      <c r="E57" t="str">
        <f t="shared" si="8"/>
        <v>EDM8 Comdty</v>
      </c>
      <c r="F57">
        <v>97.77</v>
      </c>
      <c r="G57" s="21">
        <v>3.7403406249999991</v>
      </c>
      <c r="I57">
        <f t="shared" si="5"/>
        <v>97.77</v>
      </c>
      <c r="J57" s="22">
        <f>IF(G57="",(100-F57-#REF!),G57/100)</f>
        <v>3.7403406249999993E-2</v>
      </c>
      <c r="K57">
        <v>1</v>
      </c>
      <c r="L57" t="str">
        <f>IF(K57=1,_xll.qlIRCurveFuturesRateHelper(D57,I57,J57/100,C57),"")</f>
        <v>RHED@JUN 18+3#07:55:39</v>
      </c>
      <c r="N57" s="2">
        <v>45475</v>
      </c>
      <c r="O57" t="str">
        <v>0.811991987094889</v>
      </c>
      <c r="P57" s="2"/>
      <c r="Q57" s="25">
        <f t="shared" si="3"/>
        <v>45475</v>
      </c>
      <c r="S57">
        <f t="shared" si="4"/>
        <v>-0.81199198709488896</v>
      </c>
    </row>
    <row r="58" spans="1:19" x14ac:dyDescent="0.25">
      <c r="A58" s="2"/>
      <c r="B58" s="2"/>
      <c r="C58" s="7" t="s">
        <v>166</v>
      </c>
      <c r="D58" s="7" t="s">
        <v>195</v>
      </c>
      <c r="E58" t="s">
        <v>196</v>
      </c>
      <c r="F58" s="1">
        <v>0.59150000000000003</v>
      </c>
      <c r="G58">
        <v>0.59150000000000003</v>
      </c>
      <c r="I58">
        <f t="shared" ref="I58:I75" si="9">G58/100</f>
        <v>5.9150000000000001E-3</v>
      </c>
      <c r="K58">
        <v>0</v>
      </c>
      <c r="L58" t="str">
        <f>IF(K58=1,_xll.qlIRCurveSwapRateHelper(D58,I58,C58,,"USDLIB3M","USDOIS"),"")</f>
        <v/>
      </c>
      <c r="N58" s="2">
        <v>45840</v>
      </c>
      <c r="O58" t="str">
        <v>0.787195641653883</v>
      </c>
      <c r="P58" s="2"/>
      <c r="Q58" s="25">
        <f t="shared" si="3"/>
        <v>45840</v>
      </c>
      <c r="S58">
        <f t="shared" si="4"/>
        <v>-0.787195641653883</v>
      </c>
    </row>
    <row r="59" spans="1:19" x14ac:dyDescent="0.25">
      <c r="A59" s="2"/>
      <c r="B59" s="2"/>
      <c r="C59" s="7" t="s">
        <v>38</v>
      </c>
      <c r="D59" s="7" t="s">
        <v>194</v>
      </c>
      <c r="E59" t="s">
        <v>197</v>
      </c>
      <c r="F59" s="1">
        <v>0.97430000000000005</v>
      </c>
      <c r="G59">
        <v>0.97430000000000005</v>
      </c>
      <c r="I59">
        <f t="shared" si="9"/>
        <v>9.7429999999999999E-3</v>
      </c>
      <c r="K59">
        <v>0</v>
      </c>
      <c r="L59" t="str">
        <f>IF(K59=1,_xll.qlIRCurveSwapRateHelper(D59,I59,C59,,"USDLIB3M","USDOIS"),"")</f>
        <v/>
      </c>
      <c r="N59" s="2">
        <v>46205</v>
      </c>
      <c r="O59" t="str">
        <v>0.762884130048795</v>
      </c>
      <c r="P59" s="2"/>
      <c r="Q59" s="25">
        <f t="shared" si="3"/>
        <v>46205</v>
      </c>
      <c r="R59">
        <v>0.76288413070669603</v>
      </c>
      <c r="S59">
        <f t="shared" si="4"/>
        <v>6.5790106695828854E-10</v>
      </c>
    </row>
    <row r="60" spans="1:19" x14ac:dyDescent="0.25">
      <c r="A60" s="2"/>
      <c r="B60" s="2"/>
      <c r="C60" s="7" t="s">
        <v>39</v>
      </c>
      <c r="D60" s="7" t="s">
        <v>193</v>
      </c>
      <c r="E60" t="s">
        <v>198</v>
      </c>
      <c r="F60" s="1">
        <v>1.3014999999999999</v>
      </c>
      <c r="G60">
        <v>1.3014999999999999</v>
      </c>
      <c r="I60">
        <f t="shared" si="9"/>
        <v>1.3014999999999999E-2</v>
      </c>
      <c r="K60">
        <v>0</v>
      </c>
      <c r="L60" t="str">
        <f>IF(K60=1,_xll.qlIRCurveSwapRateHelper(D60,I60,C60,,"USDLIB3M","USDOIS"),"")</f>
        <v/>
      </c>
      <c r="N60" s="2">
        <v>46570</v>
      </c>
      <c r="O60" t="str">
        <v>0.739469587621079</v>
      </c>
      <c r="P60" s="2"/>
      <c r="Q60" s="25">
        <f t="shared" si="3"/>
        <v>46570</v>
      </c>
      <c r="S60">
        <f t="shared" si="4"/>
        <v>-0.73946958762107895</v>
      </c>
    </row>
    <row r="61" spans="1:19" x14ac:dyDescent="0.25">
      <c r="C61" s="7" t="s">
        <v>40</v>
      </c>
      <c r="D61" s="7" t="s">
        <v>7</v>
      </c>
      <c r="E61" t="s">
        <v>84</v>
      </c>
      <c r="F61" s="1">
        <v>1.5629999999999999</v>
      </c>
      <c r="G61">
        <v>1.5629999999999999</v>
      </c>
      <c r="I61">
        <f t="shared" si="9"/>
        <v>1.5629999999999998E-2</v>
      </c>
      <c r="K61">
        <v>1</v>
      </c>
      <c r="L61" t="str">
        <f>IF(K61=1,_xll.qlIRCurveSwapRateHelper(D61,I61,C61,,"USDLIB3M","USDOIS"),"")</f>
        <v>RHSWP@4 YR#07:55:38</v>
      </c>
      <c r="N61" s="2">
        <v>47666</v>
      </c>
      <c r="O61" t="str">
        <v>0.673641471000038</v>
      </c>
      <c r="P61" s="2"/>
      <c r="Q61" s="25">
        <f t="shared" si="3"/>
        <v>47666</v>
      </c>
      <c r="S61">
        <f t="shared" si="4"/>
        <v>-0.67364147100003802</v>
      </c>
    </row>
    <row r="62" spans="1:19" x14ac:dyDescent="0.25">
      <c r="C62" s="7" t="s">
        <v>41</v>
      </c>
      <c r="D62" s="7" t="s">
        <v>8</v>
      </c>
      <c r="E62" t="s">
        <v>85</v>
      </c>
      <c r="F62" s="1">
        <v>1.7747999999999999</v>
      </c>
      <c r="G62">
        <v>1.7747999999999999</v>
      </c>
      <c r="I62">
        <f t="shared" si="9"/>
        <v>1.7748E-2</v>
      </c>
      <c r="K62">
        <v>1</v>
      </c>
      <c r="L62" t="str">
        <f>IF(K62=1,_xll.qlIRCurveSwapRateHelper(D62,I62,C62,,"USDLIB3M","USDOIS"),"")</f>
        <v>RHSWP@5 YR#07:55:38</v>
      </c>
      <c r="M62" s="2"/>
      <c r="N62" s="2">
        <v>49492</v>
      </c>
      <c r="O62" t="str">
        <v>0.578042605042988</v>
      </c>
      <c r="P62" s="2"/>
      <c r="Q62" s="25">
        <f t="shared" si="3"/>
        <v>49492</v>
      </c>
      <c r="S62">
        <f t="shared" si="4"/>
        <v>-0.57804260504298799</v>
      </c>
    </row>
    <row r="63" spans="1:19" x14ac:dyDescent="0.25">
      <c r="C63" s="7" t="s">
        <v>185</v>
      </c>
      <c r="D63" s="7" t="s">
        <v>11</v>
      </c>
      <c r="E63" t="s">
        <v>86</v>
      </c>
      <c r="F63" s="1">
        <v>1.946</v>
      </c>
      <c r="G63">
        <v>1.946</v>
      </c>
      <c r="I63">
        <f t="shared" si="9"/>
        <v>1.9459999999999998E-2</v>
      </c>
      <c r="K63">
        <v>1</v>
      </c>
      <c r="L63" t="str">
        <f>IF(K63=1,_xll.qlIRCurveSwapRateHelper(D63,I63,C63,,"USDLIB3M","USDOIS"),"")</f>
        <v>RHSWP@6 YR#07:55:38</v>
      </c>
      <c r="M63" s="2"/>
      <c r="N63" s="2">
        <v>51319</v>
      </c>
      <c r="O63" t="str">
        <v>0.498285097329322</v>
      </c>
      <c r="P63" s="2"/>
      <c r="Q63" s="25">
        <f t="shared" si="3"/>
        <v>51319</v>
      </c>
      <c r="S63">
        <f t="shared" si="4"/>
        <v>-0.49828509732932202</v>
      </c>
    </row>
    <row r="64" spans="1:19" x14ac:dyDescent="0.25">
      <c r="C64" s="7" t="s">
        <v>42</v>
      </c>
      <c r="D64" s="7" t="s">
        <v>12</v>
      </c>
      <c r="E64" t="s">
        <v>87</v>
      </c>
      <c r="F64" s="1">
        <v>2.0830000000000002</v>
      </c>
      <c r="G64">
        <v>2.0830000000000002</v>
      </c>
      <c r="I64">
        <f t="shared" si="9"/>
        <v>2.0830000000000001E-2</v>
      </c>
      <c r="K64">
        <v>1</v>
      </c>
      <c r="L64" t="str">
        <f>IF(K64=1,_xll.qlIRCurveSwapRateHelper(D64,I64,C64,,"USDLIB3M","USDOIS"),"")</f>
        <v>RHSWP@7 YR#07:55:38</v>
      </c>
      <c r="M64" s="2"/>
      <c r="N64" s="2">
        <v>53146</v>
      </c>
      <c r="O64" t="str">
        <v>0.430659453585584</v>
      </c>
      <c r="P64" s="2"/>
      <c r="Q64" s="25">
        <f t="shared" si="3"/>
        <v>53146</v>
      </c>
      <c r="R64">
        <v>0.43065945395697802</v>
      </c>
      <c r="S64">
        <f t="shared" si="4"/>
        <v>3.7139402664365662E-10</v>
      </c>
    </row>
    <row r="65" spans="3:19" x14ac:dyDescent="0.25">
      <c r="C65" s="7" t="s">
        <v>186</v>
      </c>
      <c r="D65" s="7" t="s">
        <v>13</v>
      </c>
      <c r="E65" t="s">
        <v>88</v>
      </c>
      <c r="F65" s="1">
        <v>2.1951000000000001</v>
      </c>
      <c r="G65">
        <v>2.1951000000000001</v>
      </c>
      <c r="I65">
        <f t="shared" si="9"/>
        <v>2.1951000000000002E-2</v>
      </c>
      <c r="K65">
        <v>1</v>
      </c>
      <c r="L65" t="str">
        <f>IF(K65=1,_xll.qlIRCurveSwapRateHelper(D65,I65,C65,,"USDLIB3M","USDOIS"),"")</f>
        <v>RHSWP@8 YR#07:55:38</v>
      </c>
      <c r="M65" s="2"/>
      <c r="N65" s="2">
        <v>56797</v>
      </c>
      <c r="O65" t="str">
        <v>0.323752967588613</v>
      </c>
      <c r="P65" s="2"/>
      <c r="Q65" s="25">
        <f t="shared" si="3"/>
        <v>56797</v>
      </c>
      <c r="R65">
        <v>0.32375296786781399</v>
      </c>
      <c r="S65">
        <f t="shared" si="4"/>
        <v>2.7920099565648115E-10</v>
      </c>
    </row>
    <row r="66" spans="3:19" x14ac:dyDescent="0.25">
      <c r="C66" s="7" t="s">
        <v>187</v>
      </c>
      <c r="D66" s="7" t="s">
        <v>14</v>
      </c>
      <c r="E66" t="s">
        <v>89</v>
      </c>
      <c r="F66" s="1">
        <v>2.2850000000000001</v>
      </c>
      <c r="G66">
        <v>2.2850000000000001</v>
      </c>
      <c r="I66">
        <f t="shared" si="9"/>
        <v>2.2850000000000002E-2</v>
      </c>
      <c r="K66">
        <v>1</v>
      </c>
      <c r="L66" t="str">
        <f>IF(K66=1,_xll.qlIRCurveSwapRateHelper(D66,I66,C66,,"USDLIB3M","USDOIS"),"")</f>
        <v>RHSWP@9 YR#07:55:38</v>
      </c>
      <c r="M66" s="2"/>
      <c r="N66" t="e">
        <v>#N/A</v>
      </c>
      <c r="O66" t="e">
        <v>#N/A</v>
      </c>
      <c r="P66" s="2"/>
      <c r="Q66" s="25" t="e">
        <f>N66</f>
        <v>#N/A</v>
      </c>
    </row>
    <row r="67" spans="3:19" x14ac:dyDescent="0.25">
      <c r="C67" s="7" t="s">
        <v>43</v>
      </c>
      <c r="D67" s="7" t="s">
        <v>15</v>
      </c>
      <c r="E67" t="s">
        <v>90</v>
      </c>
      <c r="F67" s="1">
        <v>2.3595000000000002</v>
      </c>
      <c r="G67">
        <v>2.3595000000000002</v>
      </c>
      <c r="I67">
        <f t="shared" si="9"/>
        <v>2.3595000000000001E-2</v>
      </c>
      <c r="K67">
        <v>1</v>
      </c>
      <c r="L67" t="str">
        <f>IF(K67=1,_xll.qlIRCurveSwapRateHelper(D67,I67,C67,,"USDLIB3M","USDOIS"),"")</f>
        <v>RHSWP@10 YR#07:55:38</v>
      </c>
      <c r="N67" t="e">
        <v>#N/A</v>
      </c>
      <c r="O67" t="e">
        <v>#N/A</v>
      </c>
      <c r="P67" s="2"/>
      <c r="Q67" s="25" t="e">
        <f t="shared" si="3"/>
        <v>#N/A</v>
      </c>
    </row>
    <row r="68" spans="3:19" x14ac:dyDescent="0.25">
      <c r="C68" s="7" t="s">
        <v>188</v>
      </c>
      <c r="D68" s="7" t="s">
        <v>16</v>
      </c>
      <c r="E68" t="s">
        <v>91</v>
      </c>
      <c r="F68" s="1">
        <v>2.4230999999999998</v>
      </c>
      <c r="G68">
        <v>2.4230999999999998</v>
      </c>
      <c r="I68">
        <f t="shared" si="9"/>
        <v>2.4230999999999999E-2</v>
      </c>
      <c r="K68">
        <v>1</v>
      </c>
      <c r="L68" t="str">
        <f>IF(K68=1,_xll.qlIRCurveSwapRateHelper(D68,I68,C68,,"USDLIB3M","USDOIS"),"")</f>
        <v>RHSWP@11 YR#07:55:38</v>
      </c>
      <c r="N68" t="e">
        <v>#N/A</v>
      </c>
      <c r="O68" t="e">
        <v>#N/A</v>
      </c>
      <c r="P68" s="2"/>
      <c r="Q68" s="25" t="e">
        <f t="shared" si="3"/>
        <v>#N/A</v>
      </c>
    </row>
    <row r="69" spans="3:19" x14ac:dyDescent="0.25">
      <c r="C69" s="7" t="s">
        <v>44</v>
      </c>
      <c r="D69" s="7" t="s">
        <v>17</v>
      </c>
      <c r="E69" t="s">
        <v>92</v>
      </c>
      <c r="F69" s="1">
        <v>2.4744999999999999</v>
      </c>
      <c r="G69">
        <v>2.4744999999999999</v>
      </c>
      <c r="I69">
        <f t="shared" si="9"/>
        <v>2.4745E-2</v>
      </c>
      <c r="K69">
        <v>1</v>
      </c>
      <c r="L69" t="str">
        <f>IF(K69=1,_xll.qlIRCurveSwapRateHelper(D69,I69,C69,,"USDLIB3M","USDOIS"),"")</f>
        <v>RHSWP@12 YR#07:55:38</v>
      </c>
      <c r="P69" s="2"/>
      <c r="Q69" s="3"/>
    </row>
    <row r="70" spans="3:19" x14ac:dyDescent="0.25">
      <c r="C70" s="7" t="s">
        <v>45</v>
      </c>
      <c r="D70" s="7" t="s">
        <v>18</v>
      </c>
      <c r="E70" t="s">
        <v>93</v>
      </c>
      <c r="F70" s="1">
        <v>2.5853000000000002</v>
      </c>
      <c r="G70">
        <v>2.5853000000000002</v>
      </c>
      <c r="I70">
        <f t="shared" si="9"/>
        <v>2.5853000000000001E-2</v>
      </c>
      <c r="K70">
        <v>1</v>
      </c>
      <c r="L70" t="str">
        <f>IF(K70=1,_xll.qlIRCurveSwapRateHelper(D70,I70,C70,,"USDLIB3M","USDOIS"),"")</f>
        <v>RHSWP@15 YR#07:55:38</v>
      </c>
      <c r="P70" s="2"/>
    </row>
    <row r="71" spans="3:19" x14ac:dyDescent="0.25">
      <c r="C71" s="7" t="s">
        <v>46</v>
      </c>
      <c r="D71" s="7" t="s">
        <v>19</v>
      </c>
      <c r="E71" t="s">
        <v>94</v>
      </c>
      <c r="F71" s="1">
        <v>2.6852999999999998</v>
      </c>
      <c r="G71">
        <v>2.6852999999999998</v>
      </c>
      <c r="I71">
        <f t="shared" si="9"/>
        <v>2.6852999999999998E-2</v>
      </c>
      <c r="K71">
        <v>1</v>
      </c>
      <c r="L71" t="str">
        <f>IF(K71=1,_xll.qlIRCurveSwapRateHelper(D71,I71,C71,,"USDLIB3M","USDOIS"),"")</f>
        <v>RHSWP@20 YR#07:55:38</v>
      </c>
      <c r="P71" s="2"/>
    </row>
    <row r="72" spans="3:19" x14ac:dyDescent="0.25">
      <c r="C72" s="7" t="s">
        <v>47</v>
      </c>
      <c r="D72" s="7" t="s">
        <v>20</v>
      </c>
      <c r="E72" t="s">
        <v>95</v>
      </c>
      <c r="F72" s="1">
        <v>2.7307000000000001</v>
      </c>
      <c r="G72">
        <v>2.7307000000000001</v>
      </c>
      <c r="I72">
        <f t="shared" si="9"/>
        <v>2.7307000000000001E-2</v>
      </c>
      <c r="K72">
        <v>1</v>
      </c>
      <c r="L72" t="str">
        <f>IF(K72=1,_xll.qlIRCurveSwapRateHelper(D72,I72,C72,,"USDLIB3M","USDOIS"),"")</f>
        <v>RHSWP@25 YR#07:55:38</v>
      </c>
      <c r="P72" s="2"/>
    </row>
    <row r="73" spans="3:19" x14ac:dyDescent="0.25">
      <c r="C73" s="7" t="s">
        <v>48</v>
      </c>
      <c r="D73" s="7" t="s">
        <v>21</v>
      </c>
      <c r="E73" t="s">
        <v>96</v>
      </c>
      <c r="F73" s="1">
        <v>2.7542999999999997</v>
      </c>
      <c r="G73">
        <v>2.7542999999999997</v>
      </c>
      <c r="I73">
        <f t="shared" si="9"/>
        <v>2.7542999999999998E-2</v>
      </c>
      <c r="K73">
        <v>1</v>
      </c>
      <c r="L73" t="str">
        <f>IF(K73=1,_xll.qlIRCurveSwapRateHelper(D73,I73,C73,,"USDLIB3M","USDOIS"),"")</f>
        <v>RHSWP@30 YR#07:55:38</v>
      </c>
      <c r="P73" s="2"/>
    </row>
    <row r="74" spans="3:19" x14ac:dyDescent="0.25">
      <c r="C74" s="7" t="s">
        <v>49</v>
      </c>
      <c r="D74" s="7" t="s">
        <v>22</v>
      </c>
      <c r="E74" t="s">
        <v>97</v>
      </c>
      <c r="F74" s="1">
        <v>2.7732999999999999</v>
      </c>
      <c r="G74">
        <v>2.7732999999999999</v>
      </c>
      <c r="I74">
        <f t="shared" si="9"/>
        <v>2.7732999999999997E-2</v>
      </c>
      <c r="K74">
        <v>1</v>
      </c>
      <c r="L74" t="str">
        <f>IF(K74=1,_xll.qlIRCurveSwapRateHelper(D74,I74,C74,,"USDLIB3M","USDOIS"),"")</f>
        <v>RHSWP@40 YR#07:55:38</v>
      </c>
      <c r="P74" s="2"/>
    </row>
    <row r="75" spans="3:19" x14ac:dyDescent="0.25">
      <c r="C75" s="7" t="s">
        <v>50</v>
      </c>
      <c r="D75" s="7" t="s">
        <v>23</v>
      </c>
      <c r="E75" t="s">
        <v>98</v>
      </c>
      <c r="F75" s="1">
        <v>2.7584999999999997</v>
      </c>
      <c r="G75">
        <v>2.7584999999999997</v>
      </c>
      <c r="I75">
        <f t="shared" si="9"/>
        <v>2.7584999999999998E-2</v>
      </c>
      <c r="K75">
        <v>0</v>
      </c>
      <c r="L75" t="str">
        <f>IF(K75=1,_xll.qlIRCurveSwapRateHelper(D75,I75,C75,,"USDLIB3M","USDOIS"),"")</f>
        <v/>
      </c>
      <c r="P75" s="2"/>
    </row>
    <row r="76" spans="3:19" x14ac:dyDescent="0.25">
      <c r="P76" s="2"/>
    </row>
    <row r="77" spans="3:19" x14ac:dyDescent="0.25">
      <c r="Q77" s="2"/>
    </row>
    <row r="78" spans="3:19" x14ac:dyDescent="0.25">
      <c r="Q78" s="2"/>
    </row>
    <row r="79" spans="3:19" x14ac:dyDescent="0.25">
      <c r="Q79" s="2"/>
    </row>
    <row r="80" spans="3:19" x14ac:dyDescent="0.25">
      <c r="C80" s="8" t="s">
        <v>160</v>
      </c>
      <c r="N80" t="s">
        <v>24</v>
      </c>
      <c r="O80" t="str">
        <f>_xll.qlIRCurveLinearZero(C80,L81:L97)</f>
        <v>CRV@USDLIB1M#07:55:39</v>
      </c>
      <c r="Q80" t="str">
        <f>_xll.qlCurveIRIndex(C80,,O80)</f>
        <v>IDX@USDLIB1M#07:55:39</v>
      </c>
    </row>
    <row r="81" spans="3:19" x14ac:dyDescent="0.25">
      <c r="C81" s="6" t="s">
        <v>31</v>
      </c>
      <c r="D81" s="6" t="s">
        <v>31</v>
      </c>
      <c r="E81" t="s">
        <v>113</v>
      </c>
      <c r="F81">
        <v>5.8079999999999998</v>
      </c>
      <c r="G81">
        <v>5.8079999999999998</v>
      </c>
      <c r="H81">
        <f>F81</f>
        <v>5.8079999999999998</v>
      </c>
      <c r="I81">
        <f>VLOOKUP(C81,USDValidation!$B$28:$E$49,4,FALSE)</f>
        <v>0.31780888885899478</v>
      </c>
      <c r="K81">
        <v>1</v>
      </c>
      <c r="L81" t="str">
        <f>IF(K81=1,_xll.qlIRCurveSwapRateHelper(E81,I81/100,C81,H81/10000,"USDLIB1M","USDOIS"),"")</f>
        <v>RHSWP@USBAAC Curncy#07:55:39</v>
      </c>
      <c r="N81" s="2">
        <f t="array" ref="N81:O99">_xll.qlIRCurveDisplayDiscountCurve(O80)</f>
        <v>42185</v>
      </c>
      <c r="O81" t="str">
        <v>1</v>
      </c>
      <c r="Q81" s="25">
        <f>N81</f>
        <v>42185</v>
      </c>
    </row>
    <row r="82" spans="3:19" x14ac:dyDescent="0.25">
      <c r="C82" s="6" t="s">
        <v>34</v>
      </c>
      <c r="D82" s="6" t="s">
        <v>34</v>
      </c>
      <c r="E82" t="s">
        <v>114</v>
      </c>
      <c r="F82">
        <v>7</v>
      </c>
      <c r="G82">
        <v>7</v>
      </c>
      <c r="H82">
        <f t="shared" ref="H82:H97" si="10">F82</f>
        <v>7</v>
      </c>
      <c r="I82">
        <f>VLOOKUP(C82,USDValidation!$B$28:$E$49,4,FALSE)</f>
        <v>0.41892495677268532</v>
      </c>
      <c r="K82">
        <v>1</v>
      </c>
      <c r="L82" t="str">
        <f>IF(K82=1,_xll.qlIRCurveSwapRateHelper(E82,I82/100,C82,H82/10000,"USDLIB1M","USDOIS"),"")</f>
        <v>RHSWP@USBAAF Curncy#07:55:39</v>
      </c>
      <c r="N82" s="2">
        <v>42279</v>
      </c>
      <c r="O82" t="str">
        <v>0.999340320461835</v>
      </c>
      <c r="Q82" s="25">
        <f t="shared" ref="Q82:Q99" si="11">N82</f>
        <v>42279</v>
      </c>
      <c r="R82">
        <v>0.99934032046183396</v>
      </c>
      <c r="S82">
        <f>O82-R82</f>
        <v>9.9920072216264089E-16</v>
      </c>
    </row>
    <row r="83" spans="3:19" x14ac:dyDescent="0.25">
      <c r="C83" s="6" t="s">
        <v>35</v>
      </c>
      <c r="D83" s="6" t="s">
        <v>35</v>
      </c>
      <c r="E83" t="s">
        <v>115</v>
      </c>
      <c r="F83">
        <v>7.9</v>
      </c>
      <c r="G83">
        <v>7.9</v>
      </c>
      <c r="H83">
        <f t="shared" si="10"/>
        <v>7.9</v>
      </c>
      <c r="I83">
        <f>VLOOKUP(C83,USDValidation!$B$28:$E$49,4,FALSE)</f>
        <v>0.50400427961653693</v>
      </c>
      <c r="K83">
        <v>1</v>
      </c>
      <c r="L83" t="str">
        <f>IF(K83=1,_xll.qlIRCurveSwapRateHelper(E83,I83/100,C83,H83/10000,"USDLIB1M","USDOIS"),"")</f>
        <v>RHSWP@USBAAI Curncy#07:55:39</v>
      </c>
      <c r="N83" s="2">
        <v>42373</v>
      </c>
      <c r="O83" t="str">
        <v>0.998232918096602</v>
      </c>
      <c r="Q83" s="25">
        <f t="shared" si="11"/>
        <v>42373</v>
      </c>
      <c r="R83">
        <v>0.99823291903169897</v>
      </c>
      <c r="S83">
        <f t="shared" ref="S83:S98" si="12">O83-R83</f>
        <v>-9.3509699983229666E-10</v>
      </c>
    </row>
    <row r="84" spans="3:19" x14ac:dyDescent="0.25">
      <c r="C84" s="6" t="s">
        <v>166</v>
      </c>
      <c r="D84" s="6" t="s">
        <v>102</v>
      </c>
      <c r="E84" t="s">
        <v>116</v>
      </c>
      <c r="F84">
        <v>8.7889999999999997</v>
      </c>
      <c r="G84">
        <v>8.7889999999999997</v>
      </c>
      <c r="H84">
        <f t="shared" si="10"/>
        <v>8.7889999999999997</v>
      </c>
      <c r="I84">
        <f>VLOOKUP(C84,USDValidation!$B$28:$E$49,4,FALSE)</f>
        <v>0.57767642787234064</v>
      </c>
      <c r="K84">
        <v>1</v>
      </c>
      <c r="L84" t="str">
        <f>IF(K84=1,_xll.qlIRCurveSwapRateHelper(E84,I84/100,C84,H84/10000,"USDLIB1M","USDOIS"),"")</f>
        <v>RHSWP@USBA1 Curncy#07:55:39</v>
      </c>
      <c r="N84" s="2">
        <v>42464</v>
      </c>
      <c r="O84" t="str">
        <v>0.996793664359942</v>
      </c>
      <c r="Q84" s="25">
        <f t="shared" si="11"/>
        <v>42464</v>
      </c>
      <c r="R84">
        <v>0.99679367007492203</v>
      </c>
      <c r="S84">
        <f t="shared" si="12"/>
        <v>-5.7149800447575672E-9</v>
      </c>
    </row>
    <row r="85" spans="3:19" x14ac:dyDescent="0.25">
      <c r="C85" s="6" t="s">
        <v>37</v>
      </c>
      <c r="D85" s="6" t="s">
        <v>37</v>
      </c>
      <c r="E85" t="s">
        <v>117</v>
      </c>
      <c r="F85">
        <v>9.75</v>
      </c>
      <c r="G85">
        <v>9.75</v>
      </c>
      <c r="H85">
        <f t="shared" si="10"/>
        <v>9.75</v>
      </c>
      <c r="I85">
        <f>VLOOKUP(C85,USDValidation!$B$28:$E$49,4,FALSE)</f>
        <v>0.75553702341513329</v>
      </c>
      <c r="K85">
        <v>1</v>
      </c>
      <c r="L85" t="str">
        <f>IF(K85=1,_xll.qlIRCurveSwapRateHelper(E85,I85/100,C85,H85/10000,"USDLIB1M","USDOIS"),"")</f>
        <v>RHSWP@USBA1F Curncy#07:55:39</v>
      </c>
      <c r="N85" s="2">
        <v>42556</v>
      </c>
      <c r="O85" t="str">
        <v>0.995079193278459</v>
      </c>
      <c r="Q85" s="25">
        <f t="shared" si="11"/>
        <v>42556</v>
      </c>
      <c r="S85">
        <f t="shared" si="12"/>
        <v>0.99507919327845895</v>
      </c>
    </row>
    <row r="86" spans="3:19" x14ac:dyDescent="0.25">
      <c r="C86" s="6" t="s">
        <v>38</v>
      </c>
      <c r="D86" s="6" t="s">
        <v>101</v>
      </c>
      <c r="E86" t="s">
        <v>118</v>
      </c>
      <c r="F86">
        <v>10.6875</v>
      </c>
      <c r="G86">
        <v>10.6875</v>
      </c>
      <c r="H86">
        <f t="shared" si="10"/>
        <v>10.6875</v>
      </c>
      <c r="I86">
        <f>VLOOKUP(C86,USDValidation!$B$28:$E$49,4,FALSE)</f>
        <v>0.93963266505337262</v>
      </c>
      <c r="K86">
        <v>1</v>
      </c>
      <c r="L86" t="str">
        <f>IF(K86=1,_xll.qlIRCurveSwapRateHelper(E86,I86/100,C86,H86/10000,"USDLIB1M","USDOIS"),"")</f>
        <v>RHSWP@USBA2 Curncy#07:55:39</v>
      </c>
      <c r="N86" s="2">
        <v>42738</v>
      </c>
      <c r="O86" t="str">
        <v>0.990180163739966</v>
      </c>
      <c r="Q86" s="25">
        <f t="shared" si="11"/>
        <v>42738</v>
      </c>
      <c r="S86">
        <f t="shared" si="12"/>
        <v>0.99018016373996598</v>
      </c>
    </row>
    <row r="87" spans="3:19" x14ac:dyDescent="0.25">
      <c r="C87" s="6" t="s">
        <v>39</v>
      </c>
      <c r="D87" s="6" t="s">
        <v>100</v>
      </c>
      <c r="E87" t="s">
        <v>119</v>
      </c>
      <c r="F87">
        <v>11.8705</v>
      </c>
      <c r="G87">
        <v>11.8705</v>
      </c>
      <c r="H87">
        <f t="shared" si="10"/>
        <v>11.8705</v>
      </c>
      <c r="I87">
        <f>VLOOKUP(C87,USDValidation!$B$28:$E$49,4,FALSE)</f>
        <v>1.2713039450380206</v>
      </c>
      <c r="K87">
        <v>1</v>
      </c>
      <c r="L87" t="str">
        <f>IF(K87=1,_xll.qlIRCurveSwapRateHelper(E87,I87/100,C87,H87/10000,"USDLIB1M","USDOIS"),"")</f>
        <v>RHSWP@USBA3 Curncy#07:55:39</v>
      </c>
      <c r="N87" s="2">
        <v>42919</v>
      </c>
      <c r="O87" t="str">
        <v>0.983481294771293</v>
      </c>
      <c r="Q87" s="25">
        <f t="shared" si="11"/>
        <v>42919</v>
      </c>
      <c r="S87">
        <f t="shared" si="12"/>
        <v>0.98348129477129298</v>
      </c>
    </row>
    <row r="88" spans="3:19" x14ac:dyDescent="0.25">
      <c r="C88" s="6" t="s">
        <v>40</v>
      </c>
      <c r="D88" s="6" t="s">
        <v>103</v>
      </c>
      <c r="E88" t="s">
        <v>120</v>
      </c>
      <c r="F88">
        <v>12.4375</v>
      </c>
      <c r="G88">
        <v>12.4375</v>
      </c>
      <c r="H88">
        <f t="shared" si="10"/>
        <v>12.4375</v>
      </c>
      <c r="I88">
        <f>VLOOKUP(C88,USDValidation!$B$28:$E$49,4,FALSE)</f>
        <v>1.5630012638145896</v>
      </c>
      <c r="K88">
        <v>1</v>
      </c>
      <c r="L88" t="str">
        <f>IF(K88=1,_xll.qlIRCurveSwapRateHelper(E88,I88/100,C88,H88/10000,"USDLIB1M","USDOIS"),"")</f>
        <v>RHSWP@USBA4 Curncy#07:55:39</v>
      </c>
      <c r="N88" s="2">
        <v>43283</v>
      </c>
      <c r="O88" t="str">
        <v>0.966002270495274</v>
      </c>
      <c r="Q88" s="25">
        <f t="shared" si="11"/>
        <v>43283</v>
      </c>
      <c r="S88">
        <f t="shared" si="12"/>
        <v>0.96600227049527398</v>
      </c>
    </row>
    <row r="89" spans="3:19" x14ac:dyDescent="0.25">
      <c r="C89" s="6" t="s">
        <v>41</v>
      </c>
      <c r="D89" s="6" t="s">
        <v>104</v>
      </c>
      <c r="E89" t="s">
        <v>121</v>
      </c>
      <c r="F89">
        <v>12.8125</v>
      </c>
      <c r="G89">
        <v>12.8125</v>
      </c>
      <c r="H89">
        <f t="shared" si="10"/>
        <v>12.8125</v>
      </c>
      <c r="I89">
        <f>VLOOKUP(C89,USDValidation!$B$28:$E$49,4,FALSE)</f>
        <v>1.7748011939167936</v>
      </c>
      <c r="K89">
        <v>1</v>
      </c>
      <c r="L89" t="str">
        <f>IF(K89=1,_xll.qlIRCurveSwapRateHelper(E89,I89/100,C89,H89/10000,"USDLIB1M","USDOIS"),"")</f>
        <v>RHSWP@USBA5 Curncy#07:55:39</v>
      </c>
      <c r="N89" s="2">
        <v>43648</v>
      </c>
      <c r="O89" t="str">
        <v>0.943929824862318</v>
      </c>
      <c r="Q89" s="25">
        <f t="shared" si="11"/>
        <v>43648</v>
      </c>
      <c r="S89">
        <f t="shared" si="12"/>
        <v>0.94392982486231802</v>
      </c>
    </row>
    <row r="90" spans="3:19" x14ac:dyDescent="0.25">
      <c r="C90" s="6" t="s">
        <v>185</v>
      </c>
      <c r="D90" s="6" t="s">
        <v>105</v>
      </c>
      <c r="E90" t="s">
        <v>122</v>
      </c>
      <c r="F90">
        <v>12.625</v>
      </c>
      <c r="G90">
        <v>12.625</v>
      </c>
      <c r="H90">
        <f t="shared" si="10"/>
        <v>12.625</v>
      </c>
      <c r="I90">
        <f>VLOOKUP(C90,USDValidation!$B$28:$E$49,4,FALSE)</f>
        <v>1.9460011234021439</v>
      </c>
      <c r="K90">
        <v>1</v>
      </c>
      <c r="L90" t="str">
        <f>IF(K90=1,_xll.qlIRCurveSwapRateHelper(E90,I90/100,C90,H90/10000,"USDLIB1M","USDOIS"),"")</f>
        <v>RHSWP@USBA6 Curncy#07:55:39</v>
      </c>
      <c r="N90" s="2">
        <v>44014</v>
      </c>
      <c r="O90" t="str">
        <v>0.920600711541308</v>
      </c>
      <c r="Q90" s="25">
        <f t="shared" si="11"/>
        <v>44014</v>
      </c>
      <c r="R90">
        <v>0.92060079491018099</v>
      </c>
      <c r="S90">
        <f t="shared" si="12"/>
        <v>-8.3368873027289681E-8</v>
      </c>
    </row>
    <row r="91" spans="3:19" x14ac:dyDescent="0.25">
      <c r="C91" s="6" t="s">
        <v>42</v>
      </c>
      <c r="D91" s="6" t="s">
        <v>106</v>
      </c>
      <c r="E91" t="s">
        <v>123</v>
      </c>
      <c r="F91">
        <v>12.3125</v>
      </c>
      <c r="G91">
        <v>12.3125</v>
      </c>
      <c r="H91">
        <f t="shared" si="10"/>
        <v>12.3125</v>
      </c>
      <c r="I91">
        <f>VLOOKUP(C91,USDValidation!$B$28:$E$49,4,FALSE)</f>
        <v>2.0826793222970075</v>
      </c>
      <c r="K91">
        <v>1</v>
      </c>
      <c r="L91" t="str">
        <f>IF(K91=1,_xll.qlIRCurveSwapRateHelper(E91,I91/100,C91,H91/10000,"USDLIB1M","USDOIS"),"")</f>
        <v>RHSWP@USBA7 Curncy#07:55:39</v>
      </c>
      <c r="N91" s="2">
        <v>44379</v>
      </c>
      <c r="O91" t="str">
        <v>0.895868923015408</v>
      </c>
      <c r="Q91" s="25">
        <f t="shared" si="11"/>
        <v>44379</v>
      </c>
      <c r="S91">
        <f t="shared" si="12"/>
        <v>0.89586892301540799</v>
      </c>
    </row>
    <row r="92" spans="3:19" x14ac:dyDescent="0.25">
      <c r="C92" s="6" t="s">
        <v>43</v>
      </c>
      <c r="D92" s="6" t="s">
        <v>107</v>
      </c>
      <c r="E92" t="s">
        <v>124</v>
      </c>
      <c r="F92">
        <v>11.1875</v>
      </c>
      <c r="G92">
        <v>11.1875</v>
      </c>
      <c r="H92">
        <f t="shared" si="10"/>
        <v>11.1875</v>
      </c>
      <c r="I92">
        <f>VLOOKUP(C92,USDValidation!$B$28:$E$49,4,FALSE)</f>
        <v>2.3595013498500146</v>
      </c>
      <c r="K92">
        <v>1</v>
      </c>
      <c r="L92" t="str">
        <f>IF(K92=1,_xll.qlIRCurveSwapRateHelper(E92,I92/100,C92,H92/10000,"USDLIB1M","USDOIS"),"")</f>
        <v>RHSWP@USBA10 Curncy#07:55:39</v>
      </c>
      <c r="N92" s="2">
        <v>44747</v>
      </c>
      <c r="O92" t="str">
        <v>0.870570169748787</v>
      </c>
      <c r="Q92" s="25">
        <f t="shared" si="11"/>
        <v>44747</v>
      </c>
      <c r="S92">
        <f t="shared" si="12"/>
        <v>0.87057016974878698</v>
      </c>
    </row>
    <row r="93" spans="3:19" x14ac:dyDescent="0.25">
      <c r="C93" s="6" t="s">
        <v>44</v>
      </c>
      <c r="D93" s="6" t="s">
        <v>108</v>
      </c>
      <c r="E93" t="s">
        <v>125</v>
      </c>
      <c r="F93">
        <v>10.8125</v>
      </c>
      <c r="G93">
        <v>10.8125</v>
      </c>
      <c r="H93">
        <f t="shared" si="10"/>
        <v>10.8125</v>
      </c>
      <c r="I93">
        <f>VLOOKUP(C93,USDValidation!$B$28:$E$49,4,FALSE)</f>
        <v>2.4745012250168408</v>
      </c>
      <c r="K93">
        <v>1</v>
      </c>
      <c r="L93" t="str">
        <f>IF(K93=1,_xll.qlIRCurveSwapRateHelper(E93,I93/100,C93,H93/10000,"USDLIB1M","USDOIS"),"")</f>
        <v>RHSWP@USBA12 Curncy#07:55:39</v>
      </c>
      <c r="N93" s="2">
        <v>45840</v>
      </c>
      <c r="O93" t="str">
        <v>0.79606919734791</v>
      </c>
      <c r="Q93" s="25">
        <f t="shared" si="11"/>
        <v>45840</v>
      </c>
      <c r="S93">
        <f t="shared" si="12"/>
        <v>0.79606919734791004</v>
      </c>
    </row>
    <row r="94" spans="3:19" x14ac:dyDescent="0.25">
      <c r="C94" s="6" t="s">
        <v>45</v>
      </c>
      <c r="D94" s="6" t="s">
        <v>109</v>
      </c>
      <c r="E94" t="s">
        <v>126</v>
      </c>
      <c r="F94">
        <v>10.45</v>
      </c>
      <c r="G94">
        <v>10.45</v>
      </c>
      <c r="H94">
        <f t="shared" si="10"/>
        <v>10.45</v>
      </c>
      <c r="I94">
        <f>VLOOKUP(C94,USDValidation!$B$28:$E$49,4,FALSE)</f>
        <v>2.5853010755206829</v>
      </c>
      <c r="K94">
        <v>1</v>
      </c>
      <c r="L94" t="str">
        <f>IF(K94=1,_xll.qlIRCurveSwapRateHelper(E94,I94/100,C94,H94/10000,"USDLIB1M","USDOIS"),"")</f>
        <v>RHSWP@USBA15 Curncy#07:55:39</v>
      </c>
      <c r="N94" s="2">
        <v>46570</v>
      </c>
      <c r="O94" t="str">
        <v>0.749095324766369</v>
      </c>
      <c r="Q94" s="25">
        <f t="shared" si="11"/>
        <v>46570</v>
      </c>
      <c r="S94">
        <f t="shared" si="12"/>
        <v>0.74909532476636898</v>
      </c>
    </row>
    <row r="95" spans="3:19" x14ac:dyDescent="0.25">
      <c r="C95" s="6" t="s">
        <v>46</v>
      </c>
      <c r="D95" s="6" t="s">
        <v>110</v>
      </c>
      <c r="E95" t="s">
        <v>127</v>
      </c>
      <c r="F95">
        <v>10.6875</v>
      </c>
      <c r="G95">
        <v>10.6875</v>
      </c>
      <c r="H95">
        <f t="shared" si="10"/>
        <v>10.6875</v>
      </c>
      <c r="I95">
        <f>VLOOKUP(C95,USDValidation!$B$28:$E$49,4,FALSE)</f>
        <v>2.6853009148146847</v>
      </c>
      <c r="K95">
        <v>1</v>
      </c>
      <c r="L95" t="str">
        <f>IF(K95=1,_xll.qlIRCurveSwapRateHelper(E95,I95/100,C95,H95/10000,"USDLIB1M","USDOIS"),"")</f>
        <v>RHSWP@USBA20 Curncy#07:55:39</v>
      </c>
      <c r="N95" s="2">
        <v>47666</v>
      </c>
      <c r="O95" t="str">
        <v>0.684196557607568</v>
      </c>
      <c r="Q95" s="25">
        <f t="shared" si="11"/>
        <v>47666</v>
      </c>
      <c r="S95">
        <f t="shared" si="12"/>
        <v>0.68419655760756803</v>
      </c>
    </row>
    <row r="96" spans="3:19" x14ac:dyDescent="0.25">
      <c r="C96" s="6" t="s">
        <v>47</v>
      </c>
      <c r="D96" s="6" t="s">
        <v>111</v>
      </c>
      <c r="E96" t="s">
        <v>128</v>
      </c>
      <c r="F96">
        <v>10.875</v>
      </c>
      <c r="G96">
        <v>10.875</v>
      </c>
      <c r="H96">
        <f t="shared" si="10"/>
        <v>10.875</v>
      </c>
      <c r="I96">
        <f>VLOOKUP(C96,USDValidation!$B$28:$E$49,4,FALSE)</f>
        <v>2.7307008054909265</v>
      </c>
      <c r="K96">
        <v>1</v>
      </c>
      <c r="L96" t="str">
        <f>IF(K96=1,_xll.qlIRCurveSwapRateHelper(E96,I96/100,C96,H96/10000,"USDLIB1M","USDOIS"),"")</f>
        <v>RHSWP@USBA25 Curncy#07:55:39</v>
      </c>
      <c r="N96" s="2">
        <v>49492</v>
      </c>
      <c r="O96" t="str">
        <v>0.590549491433426</v>
      </c>
      <c r="Q96" s="25">
        <f t="shared" si="11"/>
        <v>49492</v>
      </c>
      <c r="R96">
        <v>0.59055040300929995</v>
      </c>
      <c r="S96">
        <f t="shared" si="12"/>
        <v>-9.11575873896453E-7</v>
      </c>
    </row>
    <row r="97" spans="3:19" x14ac:dyDescent="0.25">
      <c r="C97" s="6" t="s">
        <v>48</v>
      </c>
      <c r="D97" s="6" t="s">
        <v>112</v>
      </c>
      <c r="E97" t="s">
        <v>129</v>
      </c>
      <c r="F97">
        <v>11.0625</v>
      </c>
      <c r="G97">
        <v>11.0625</v>
      </c>
      <c r="H97">
        <f t="shared" si="10"/>
        <v>11.0625</v>
      </c>
      <c r="I97">
        <f>VLOOKUP(C97,USDValidation!$B$28:$E$49,4,FALSE)</f>
        <v>2.7542985231280239</v>
      </c>
      <c r="K97">
        <v>1</v>
      </c>
      <c r="L97" t="str">
        <f>IF(K97=1,_xll.qlIRCurveSwapRateHelper(E97,I97/100,C97,H97/10000,"USDLIB1M","USDOIS"),"")</f>
        <v>RHSWP@USBA30 Curncy#07:55:39</v>
      </c>
      <c r="N97" s="2">
        <v>51319</v>
      </c>
      <c r="O97" t="str">
        <v>0.512140318027308</v>
      </c>
      <c r="Q97" s="25">
        <f t="shared" si="11"/>
        <v>51319</v>
      </c>
      <c r="R97">
        <v>0.51214111311296995</v>
      </c>
      <c r="S97">
        <f t="shared" si="12"/>
        <v>-7.950856619753921E-7</v>
      </c>
    </row>
    <row r="98" spans="3:19" x14ac:dyDescent="0.25">
      <c r="N98" s="2">
        <v>53146</v>
      </c>
      <c r="O98" t="str">
        <v>0.44543283614536</v>
      </c>
      <c r="Q98" s="25">
        <f t="shared" si="11"/>
        <v>53146</v>
      </c>
      <c r="R98">
        <v>0.44543392747261901</v>
      </c>
      <c r="S98">
        <f t="shared" si="12"/>
        <v>-1.0913272590062917E-6</v>
      </c>
    </row>
    <row r="99" spans="3:19" x14ac:dyDescent="0.25">
      <c r="N99" t="e">
        <v>#N/A</v>
      </c>
      <c r="O99" t="e">
        <v>#N/A</v>
      </c>
      <c r="Q99" s="25" t="e">
        <f t="shared" si="11"/>
        <v>#N/A</v>
      </c>
    </row>
    <row r="102" spans="3:19" x14ac:dyDescent="0.25">
      <c r="C102" s="8" t="s">
        <v>161</v>
      </c>
      <c r="N102" t="s">
        <v>189</v>
      </c>
      <c r="O102" t="str">
        <f>_xll.qlIRCurveLinearZero(C102,L103:L115)</f>
        <v>CRV@USDLIB6M#07:55:39</v>
      </c>
      <c r="Q102" t="str">
        <f>_xll.qlCurveIRIndex(C102,,O102)</f>
        <v>IDX@USDLIB6M#07:55:39</v>
      </c>
    </row>
    <row r="103" spans="3:19" x14ac:dyDescent="0.25">
      <c r="C103" s="7" t="s">
        <v>166</v>
      </c>
      <c r="D103" s="7" t="s">
        <v>102</v>
      </c>
      <c r="E103" t="s">
        <v>131</v>
      </c>
      <c r="F103">
        <v>8.9375</v>
      </c>
      <c r="G103">
        <v>8.9375</v>
      </c>
      <c r="H103">
        <f t="shared" ref="H103:H115" si="13">F103</f>
        <v>8.9375</v>
      </c>
      <c r="I103">
        <f>VLOOKUP(C103,USDValidation!$B$29:$E$49,4,FALSE)</f>
        <v>0.57767642787234064</v>
      </c>
      <c r="K103">
        <v>1</v>
      </c>
      <c r="L103" t="str">
        <f>IF(K103=1,_xll.qlIRCurveSwapRateHelper(E103,I103/100,C103,-H103/10000,"USDLIB6M","USDOIS"),"")</f>
        <v>RHSWP@USBC1 Curncy#07:55:39</v>
      </c>
      <c r="N103" s="2">
        <f t="array" ref="N103:O117">_xll.qlIRCurveDisplayDiscountCurve(O102)</f>
        <v>42185</v>
      </c>
      <c r="O103" t="str">
        <v>1</v>
      </c>
      <c r="Q103" s="25">
        <f>N103</f>
        <v>42185</v>
      </c>
    </row>
    <row r="104" spans="3:19" x14ac:dyDescent="0.25">
      <c r="C104" s="7" t="s">
        <v>37</v>
      </c>
      <c r="D104" s="7" t="s">
        <v>130</v>
      </c>
      <c r="E104" t="s">
        <v>132</v>
      </c>
      <c r="F104">
        <v>8.4130000000000003</v>
      </c>
      <c r="G104">
        <v>8.4130000000000003</v>
      </c>
      <c r="H104">
        <f t="shared" si="13"/>
        <v>8.4130000000000003</v>
      </c>
      <c r="I104">
        <f>VLOOKUP(C104,USDValidation!$B$29:$E$49,4,FALSE)</f>
        <v>0.75553702341513329</v>
      </c>
      <c r="K104">
        <v>1</v>
      </c>
      <c r="L104" t="str">
        <f>IF(K104=1,_xll.qlIRCurveSwapRateHelper(E104,I104/100,C104,-H104/10000,"USDLIB6M","USDOIS"),"")</f>
        <v>RHSWP@USBC1F Curncy#07:55:39</v>
      </c>
      <c r="N104" s="2">
        <v>42556</v>
      </c>
      <c r="O104" t="str">
        <v>0.993256748388939</v>
      </c>
      <c r="Q104" s="25">
        <f t="shared" ref="Q104:Q116" si="14">N104</f>
        <v>42556</v>
      </c>
    </row>
    <row r="105" spans="3:19" x14ac:dyDescent="0.25">
      <c r="C105" s="7" t="s">
        <v>38</v>
      </c>
      <c r="D105" s="7" t="s">
        <v>101</v>
      </c>
      <c r="E105" t="s">
        <v>133</v>
      </c>
      <c r="F105">
        <v>8.0625</v>
      </c>
      <c r="G105">
        <v>8.0625</v>
      </c>
      <c r="H105">
        <f t="shared" si="13"/>
        <v>8.0625</v>
      </c>
      <c r="I105">
        <f>VLOOKUP(C105,USDValidation!$B$29:$E$49,4,FALSE)</f>
        <v>0.93963266505337262</v>
      </c>
      <c r="K105">
        <v>1</v>
      </c>
      <c r="L105" t="str">
        <f>IF(K105=1,_xll.qlIRCurveSwapRateHelper(E105,I105/100,C105,-H105/10000,"USDLIB6M","USDOIS"),"")</f>
        <v>RHSWP@USBC2 Curncy#07:55:39</v>
      </c>
      <c r="N105" s="2">
        <v>42738</v>
      </c>
      <c r="O105" t="str">
        <v>0.987419360342722</v>
      </c>
      <c r="Q105" s="25">
        <f t="shared" si="14"/>
        <v>42738</v>
      </c>
    </row>
    <row r="106" spans="3:19" x14ac:dyDescent="0.25">
      <c r="C106" s="7" t="s">
        <v>39</v>
      </c>
      <c r="D106" s="7" t="s">
        <v>100</v>
      </c>
      <c r="E106" t="s">
        <v>134</v>
      </c>
      <c r="F106">
        <v>7.4375</v>
      </c>
      <c r="G106">
        <v>7.4375</v>
      </c>
      <c r="H106">
        <f t="shared" si="13"/>
        <v>7.4375</v>
      </c>
      <c r="I106">
        <f>VLOOKUP(C106,USDValidation!$B$29:$E$49,4,FALSE)</f>
        <v>1.2713039450380206</v>
      </c>
      <c r="K106">
        <v>1</v>
      </c>
      <c r="L106" t="str">
        <f>IF(K106=1,_xll.qlIRCurveSwapRateHelper(E106,I106/100,C106,-H106/10000,"USDLIB6M","USDOIS"),"")</f>
        <v>RHSWP@USBC3 Curncy#07:55:39</v>
      </c>
      <c r="N106" s="2">
        <v>42919</v>
      </c>
      <c r="O106" t="str">
        <v>0.979732425462782</v>
      </c>
      <c r="Q106" s="25">
        <f t="shared" si="14"/>
        <v>42919</v>
      </c>
    </row>
    <row r="107" spans="3:19" x14ac:dyDescent="0.25">
      <c r="C107" s="7" t="s">
        <v>40</v>
      </c>
      <c r="D107" s="7" t="s">
        <v>103</v>
      </c>
      <c r="E107" t="s">
        <v>135</v>
      </c>
      <c r="F107">
        <v>7.1875</v>
      </c>
      <c r="G107">
        <v>7.1875</v>
      </c>
      <c r="H107">
        <f t="shared" si="13"/>
        <v>7.1875</v>
      </c>
      <c r="I107">
        <f>VLOOKUP(C107,USDValidation!$B$29:$E$49,4,FALSE)</f>
        <v>1.5630012638145896</v>
      </c>
      <c r="K107">
        <v>1</v>
      </c>
      <c r="L107" t="str">
        <f>IF(K107=1,_xll.qlIRCurveSwapRateHelper(E107,I107/100,C107,-H107/10000,"USDLIB6M","USDOIS"),"")</f>
        <v>RHSWP@USBC4 Curncy#07:55:39</v>
      </c>
      <c r="N107" s="2">
        <v>43283</v>
      </c>
      <c r="O107" t="str">
        <v>0.960349186871046</v>
      </c>
      <c r="Q107" s="25">
        <f t="shared" si="14"/>
        <v>43283</v>
      </c>
    </row>
    <row r="108" spans="3:19" x14ac:dyDescent="0.25">
      <c r="C108" s="7" t="s">
        <v>41</v>
      </c>
      <c r="D108" s="7" t="s">
        <v>104</v>
      </c>
      <c r="E108" t="s">
        <v>136</v>
      </c>
      <c r="F108">
        <v>7.1875</v>
      </c>
      <c r="G108">
        <v>7.1875</v>
      </c>
      <c r="H108">
        <f t="shared" si="13"/>
        <v>7.1875</v>
      </c>
      <c r="I108">
        <f>VLOOKUP(C108,USDValidation!$B$29:$E$49,4,FALSE)</f>
        <v>1.7748011939167936</v>
      </c>
      <c r="K108">
        <v>1</v>
      </c>
      <c r="L108" t="str">
        <f>IF(K108=1,_xll.qlIRCurveSwapRateHelper(E108,I108/100,C108,-H108/10000,"USDLIB6M","USDOIS"),"")</f>
        <v>RHSWP@USBC5 Curncy#07:55:39</v>
      </c>
      <c r="N108" s="2">
        <v>43648</v>
      </c>
      <c r="O108" t="str">
        <v>0.936472708889945</v>
      </c>
      <c r="Q108" s="25">
        <f t="shared" si="14"/>
        <v>43648</v>
      </c>
    </row>
    <row r="109" spans="3:19" x14ac:dyDescent="0.25">
      <c r="C109" s="7" t="s">
        <v>42</v>
      </c>
      <c r="D109" s="7" t="s">
        <v>106</v>
      </c>
      <c r="E109" t="s">
        <v>137</v>
      </c>
      <c r="F109">
        <v>7.25</v>
      </c>
      <c r="G109">
        <v>7.25</v>
      </c>
      <c r="H109">
        <f t="shared" si="13"/>
        <v>7.25</v>
      </c>
      <c r="I109">
        <f>VLOOKUP(C109,USDValidation!$B$29:$E$49,4,FALSE)</f>
        <v>2.0826793222970075</v>
      </c>
      <c r="K109">
        <v>1</v>
      </c>
      <c r="L109" t="str">
        <f>IF(K109=1,_xll.qlIRCurveSwapRateHelper(E109,I109/100,C109,-H109/10000,"USDLIB6M","USDOIS"),"")</f>
        <v>RHSWP@USBC7 Curncy#07:55:39</v>
      </c>
      <c r="N109" s="2">
        <v>44014</v>
      </c>
      <c r="O109" t="str">
        <v>0.911350204781947</v>
      </c>
      <c r="Q109" s="25">
        <f t="shared" si="14"/>
        <v>44014</v>
      </c>
    </row>
    <row r="110" spans="3:19" x14ac:dyDescent="0.25">
      <c r="C110" s="7" t="s">
        <v>43</v>
      </c>
      <c r="D110" s="7" t="s">
        <v>107</v>
      </c>
      <c r="E110" t="s">
        <v>138</v>
      </c>
      <c r="F110">
        <v>7.875</v>
      </c>
      <c r="G110">
        <v>7.875</v>
      </c>
      <c r="H110">
        <f t="shared" si="13"/>
        <v>7.875</v>
      </c>
      <c r="I110">
        <f>VLOOKUP(C110,USDValidation!$B$29:$E$49,4,FALSE)</f>
        <v>2.3595013498500146</v>
      </c>
      <c r="K110">
        <v>1</v>
      </c>
      <c r="L110" t="str">
        <f>IF(K110=1,_xll.qlIRCurveSwapRateHelper(E110,I110/100,C110,-H110/10000,"USDLIB6M","USDOIS"),"")</f>
        <v>RHSWP@USBC10 Curncy#07:55:39</v>
      </c>
      <c r="N110" s="2">
        <v>44747</v>
      </c>
      <c r="O110" t="str">
        <v>0.858662846693407</v>
      </c>
      <c r="Q110" s="25">
        <f t="shared" si="14"/>
        <v>44747</v>
      </c>
    </row>
    <row r="111" spans="3:19" x14ac:dyDescent="0.25">
      <c r="C111" s="7" t="s">
        <v>44</v>
      </c>
      <c r="D111" s="7" t="s">
        <v>108</v>
      </c>
      <c r="E111" t="s">
        <v>139</v>
      </c>
      <c r="F111">
        <v>8.3125</v>
      </c>
      <c r="G111">
        <v>8.3125</v>
      </c>
      <c r="H111">
        <f t="shared" si="13"/>
        <v>8.3125</v>
      </c>
      <c r="I111">
        <f>VLOOKUP(C111,USDValidation!$B$29:$E$49,4,FALSE)</f>
        <v>2.4745012250168408</v>
      </c>
      <c r="K111">
        <v>1</v>
      </c>
      <c r="L111" t="str">
        <f>IF(K111=1,_xll.qlIRCurveSwapRateHelper(E111,I111/100,C111,-H111/10000,"USDLIB6M","USDOIS"),"")</f>
        <v>RHSWP@USBC12 Curncy#07:55:39</v>
      </c>
      <c r="N111" s="2">
        <v>45840</v>
      </c>
      <c r="O111" t="str">
        <v>0.781032060988284</v>
      </c>
      <c r="Q111" s="25">
        <f t="shared" si="14"/>
        <v>45840</v>
      </c>
    </row>
    <row r="112" spans="3:19" x14ac:dyDescent="0.25">
      <c r="C112" s="7" t="s">
        <v>45</v>
      </c>
      <c r="D112" s="7" t="s">
        <v>109</v>
      </c>
      <c r="E112" t="s">
        <v>140</v>
      </c>
      <c r="F112">
        <v>8.85</v>
      </c>
      <c r="G112">
        <v>8.85</v>
      </c>
      <c r="H112">
        <f t="shared" si="13"/>
        <v>8.85</v>
      </c>
      <c r="I112">
        <f>VLOOKUP(C112,USDValidation!$B$29:$E$49,4,FALSE)</f>
        <v>2.5853010755206829</v>
      </c>
      <c r="K112">
        <v>1</v>
      </c>
      <c r="L112" t="str">
        <f>IF(K112=1,_xll.qlIRCurveSwapRateHelper(E112,I112/100,C112,-H112/10000,"USDLIB6M","USDOIS"),"")</f>
        <v>RHSWP@USBC15 Curncy#07:55:39</v>
      </c>
      <c r="N112" s="2">
        <v>46570</v>
      </c>
      <c r="O112" t="str">
        <v>0.732100797448563</v>
      </c>
      <c r="Q112" s="25">
        <f t="shared" si="14"/>
        <v>46570</v>
      </c>
    </row>
    <row r="113" spans="3:17" x14ac:dyDescent="0.25">
      <c r="C113" s="7" t="s">
        <v>46</v>
      </c>
      <c r="D113" s="7" t="s">
        <v>110</v>
      </c>
      <c r="E113" t="s">
        <v>141</v>
      </c>
      <c r="F113">
        <v>9.3125</v>
      </c>
      <c r="G113">
        <v>9.3125</v>
      </c>
      <c r="H113">
        <f t="shared" si="13"/>
        <v>9.3125</v>
      </c>
      <c r="I113">
        <f>VLOOKUP(C113,USDValidation!$B$29:$E$49,4,FALSE)</f>
        <v>2.6853009148146847</v>
      </c>
      <c r="K113">
        <v>1</v>
      </c>
      <c r="L113" t="str">
        <f>IF(K113=1,_xll.qlIRCurveSwapRateHelper(E113,I113/100,C113,-H113/10000,"USDLIB6M","USDOIS"),"")</f>
        <v>RHSWP@USBC20 Curncy#07:55:39</v>
      </c>
      <c r="N113" s="4">
        <v>47666</v>
      </c>
      <c r="O113" t="str">
        <v>0.664651783697025</v>
      </c>
      <c r="Q113" s="25">
        <f t="shared" si="14"/>
        <v>47666</v>
      </c>
    </row>
    <row r="114" spans="3:17" x14ac:dyDescent="0.25">
      <c r="C114" s="7" t="s">
        <v>47</v>
      </c>
      <c r="D114" s="7" t="s">
        <v>111</v>
      </c>
      <c r="E114" t="s">
        <v>142</v>
      </c>
      <c r="F114">
        <v>9.3125</v>
      </c>
      <c r="G114">
        <v>9.3125</v>
      </c>
      <c r="H114">
        <f t="shared" si="13"/>
        <v>9.3125</v>
      </c>
      <c r="I114">
        <f>VLOOKUP(C114,USDValidation!$B$29:$E$49,4,FALSE)</f>
        <v>2.7307008054909265</v>
      </c>
      <c r="K114">
        <v>1</v>
      </c>
      <c r="L114" t="str">
        <f>IF(K114=1,_xll.qlIRCurveSwapRateHelper(E114,I114/100,C114,-H114/10000,"USDLIB6M","USDOIS"),"")</f>
        <v>RHSWP@USBC25 Curncy#07:55:39</v>
      </c>
      <c r="N114" s="2">
        <v>49492</v>
      </c>
      <c r="O114" t="str">
        <v>0.567183147789546</v>
      </c>
      <c r="Q114" s="25">
        <f t="shared" si="14"/>
        <v>49492</v>
      </c>
    </row>
    <row r="115" spans="3:17" x14ac:dyDescent="0.25">
      <c r="C115" s="7" t="s">
        <v>48</v>
      </c>
      <c r="D115" s="7" t="s">
        <v>112</v>
      </c>
      <c r="E115" t="s">
        <v>143</v>
      </c>
      <c r="F115">
        <v>9.3125</v>
      </c>
      <c r="G115">
        <v>9.3125</v>
      </c>
      <c r="H115">
        <f t="shared" si="13"/>
        <v>9.3125</v>
      </c>
      <c r="I115">
        <f>VLOOKUP(C115,USDValidation!$B$29:$E$49,4,FALSE)</f>
        <v>2.7542985231280239</v>
      </c>
      <c r="K115">
        <v>1</v>
      </c>
      <c r="L115" t="str">
        <f>IF(K115=1,_xll.qlIRCurveSwapRateHelper(E115,I115/100,C115,-H115/10000,"USDLIB6M","USDOIS"),"")</f>
        <v>RHSWP@USBC30 Curncy#07:55:39</v>
      </c>
      <c r="N115" s="2">
        <v>51319</v>
      </c>
      <c r="O115" t="str">
        <v>0.486674167461489</v>
      </c>
      <c r="Q115" s="25">
        <f t="shared" si="14"/>
        <v>51319</v>
      </c>
    </row>
    <row r="116" spans="3:17" x14ac:dyDescent="0.25">
      <c r="N116" s="2">
        <v>53146</v>
      </c>
      <c r="O116" t="str">
        <v>0.418689458377261</v>
      </c>
      <c r="Q116" s="25">
        <f t="shared" si="14"/>
        <v>53146</v>
      </c>
    </row>
    <row r="117" spans="3:17" x14ac:dyDescent="0.25">
      <c r="N117" t="e">
        <v>#N/A</v>
      </c>
      <c r="O117" t="e">
        <v>#N/A</v>
      </c>
    </row>
    <row r="120" spans="3:17" x14ac:dyDescent="0.25">
      <c r="C120" s="8" t="s">
        <v>162</v>
      </c>
      <c r="N120" t="s">
        <v>189</v>
      </c>
      <c r="O120" t="str">
        <f>_xll.qlIRCurveLinearZero(C120,L121:L133)</f>
        <v>CRV@USDLIB12M#07:55:39</v>
      </c>
      <c r="Q120" t="str">
        <f>_xll.qlCurveIRIndex(C120,,O120)</f>
        <v>IDX@USDLIB12M#07:55:39</v>
      </c>
    </row>
    <row r="121" spans="3:17" x14ac:dyDescent="0.25">
      <c r="C121" s="6" t="s">
        <v>34</v>
      </c>
      <c r="D121" s="6" t="s">
        <v>156</v>
      </c>
      <c r="E121" t="s">
        <v>157</v>
      </c>
      <c r="H121">
        <f t="shared" ref="H121:H133" si="15">F121</f>
        <v>0</v>
      </c>
      <c r="I121">
        <f>VLOOKUP(C121,USDValidation!$B$29:$E$49,4,FALSE)</f>
        <v>0.41892495677268532</v>
      </c>
      <c r="K121">
        <v>0</v>
      </c>
      <c r="L121" t="str">
        <f>IF(K121=1,_xll.qlIRCurveSwapRateHelper(E121,I121/100,C121,H121/10000,"USDOIS"),"")</f>
        <v/>
      </c>
      <c r="N121" s="2">
        <f t="array" ref="N121:O135">_xll.qlIRCurveDisplayDiscountCurve(O120)</f>
        <v>42185</v>
      </c>
      <c r="O121" t="str">
        <v>1</v>
      </c>
    </row>
    <row r="122" spans="3:17" x14ac:dyDescent="0.25">
      <c r="C122" s="6" t="s">
        <v>166</v>
      </c>
      <c r="D122" s="6" t="s">
        <v>102</v>
      </c>
      <c r="E122" t="s">
        <v>144</v>
      </c>
      <c r="F122">
        <v>25</v>
      </c>
      <c r="G122">
        <v>25</v>
      </c>
      <c r="H122">
        <f t="shared" si="15"/>
        <v>25</v>
      </c>
      <c r="I122">
        <f>VLOOKUP(C122,USDValidation!$B$29:$E$49,4,FALSE)</f>
        <v>0.57767642787234064</v>
      </c>
      <c r="K122">
        <v>1</v>
      </c>
      <c r="L122" t="str">
        <f>IF(K122=1,_xll.qlIRCurveSwapRateHelper(E122,I122/100,C122,-H122/10000,"USDLIB12M","USDOIS"),"")</f>
        <v>RHSWP@USBL1 Curncy#07:55:39</v>
      </c>
      <c r="N122" s="2">
        <v>42556</v>
      </c>
      <c r="O122" t="str">
        <v>0.991628780561849</v>
      </c>
    </row>
    <row r="123" spans="3:17" x14ac:dyDescent="0.25">
      <c r="C123" s="6" t="s">
        <v>38</v>
      </c>
      <c r="D123" s="6" t="s">
        <v>101</v>
      </c>
      <c r="E123" t="s">
        <v>145</v>
      </c>
      <c r="F123">
        <v>21.5625</v>
      </c>
      <c r="G123">
        <v>21.5625</v>
      </c>
      <c r="H123">
        <f t="shared" si="15"/>
        <v>21.5625</v>
      </c>
      <c r="I123">
        <f>VLOOKUP(C123,USDValidation!$B$29:$E$49,4,FALSE)</f>
        <v>0.93963266505337262</v>
      </c>
      <c r="K123">
        <v>1</v>
      </c>
      <c r="L123" t="str">
        <f>IF(K123=1,_xll.qlIRCurveSwapRateHelper(E123,I123/100,C123,-H123/10000,"USDLIB12M","USDOIS"),"")</f>
        <v>RHSWP@USBL2 Curncy#07:55:39</v>
      </c>
      <c r="N123" s="2">
        <v>42919</v>
      </c>
      <c r="O123" t="str">
        <v>0.97708034970927</v>
      </c>
    </row>
    <row r="124" spans="3:17" x14ac:dyDescent="0.25">
      <c r="C124" s="6" t="s">
        <v>39</v>
      </c>
      <c r="D124" s="6" t="s">
        <v>100</v>
      </c>
      <c r="E124" t="s">
        <v>146</v>
      </c>
      <c r="F124">
        <v>22</v>
      </c>
      <c r="G124">
        <v>22</v>
      </c>
      <c r="H124">
        <f t="shared" si="15"/>
        <v>22</v>
      </c>
      <c r="I124">
        <f>VLOOKUP(C124,USDValidation!$B$29:$E$49,4,FALSE)</f>
        <v>1.2713039450380206</v>
      </c>
      <c r="K124">
        <v>1</v>
      </c>
      <c r="L124" t="str">
        <f>IF(K124=1,_xll.qlIRCurveSwapRateHelper(E124,I124/100,C124,-H124/10000,"USDLIB12M","USDOIS"),"")</f>
        <v>RHSWP@USBL3 Curncy#07:55:39</v>
      </c>
      <c r="N124" s="2">
        <v>43283</v>
      </c>
      <c r="O124" t="str">
        <v>0.956178846335431</v>
      </c>
    </row>
    <row r="125" spans="3:17" x14ac:dyDescent="0.25">
      <c r="C125" s="6" t="s">
        <v>40</v>
      </c>
      <c r="D125" s="6" t="s">
        <v>103</v>
      </c>
      <c r="E125" t="s">
        <v>147</v>
      </c>
      <c r="F125">
        <v>21.5</v>
      </c>
      <c r="G125">
        <v>21.5</v>
      </c>
      <c r="H125">
        <f t="shared" si="15"/>
        <v>21.5</v>
      </c>
      <c r="I125">
        <f>VLOOKUP(C125,USDValidation!$B$29:$E$49,4,FALSE)</f>
        <v>1.5630012638145896</v>
      </c>
      <c r="K125">
        <v>1</v>
      </c>
      <c r="L125" t="str">
        <f>IF(K125=1,_xll.qlIRCurveSwapRateHelper(E125,I125/100,C125,-H125/10000,"USDLIB12M","USDOIS"),"")</f>
        <v>RHSWP@USBL4 Curncy#07:55:39</v>
      </c>
      <c r="N125" s="2">
        <v>43648</v>
      </c>
      <c r="O125" t="str">
        <v>0.931185506666077</v>
      </c>
    </row>
    <row r="126" spans="3:17" x14ac:dyDescent="0.25">
      <c r="C126" s="6" t="s">
        <v>41</v>
      </c>
      <c r="D126" s="6" t="s">
        <v>104</v>
      </c>
      <c r="E126" t="s">
        <v>148</v>
      </c>
      <c r="F126">
        <v>21.375</v>
      </c>
      <c r="G126">
        <v>21.375</v>
      </c>
      <c r="H126">
        <f t="shared" si="15"/>
        <v>21.375</v>
      </c>
      <c r="I126">
        <f>VLOOKUP(C126,USDValidation!$B$29:$E$49,4,FALSE)</f>
        <v>1.7748011939167936</v>
      </c>
      <c r="K126">
        <v>1</v>
      </c>
      <c r="L126" t="str">
        <f>IF(K126=1,_xll.qlIRCurveSwapRateHelper(E126,I126/100,C126,-H126/10000,"USDLIB12M","USDOIS"),"")</f>
        <v>RHSWP@USBL5 Curncy#07:55:39</v>
      </c>
      <c r="N126" s="2">
        <v>44014</v>
      </c>
      <c r="O126" t="str">
        <v>0.905003445728909</v>
      </c>
    </row>
    <row r="127" spans="3:17" x14ac:dyDescent="0.25">
      <c r="C127" s="6" t="s">
        <v>42</v>
      </c>
      <c r="D127" s="6" t="s">
        <v>106</v>
      </c>
      <c r="E127" t="s">
        <v>149</v>
      </c>
      <c r="F127">
        <v>21.625</v>
      </c>
      <c r="G127">
        <v>21.625</v>
      </c>
      <c r="H127">
        <f t="shared" si="15"/>
        <v>21.625</v>
      </c>
      <c r="I127">
        <f>VLOOKUP(C127,USDValidation!$B$29:$E$49,4,FALSE)</f>
        <v>2.0826793222970075</v>
      </c>
      <c r="K127">
        <v>1</v>
      </c>
      <c r="L127" t="str">
        <f>IF(K127=1,_xll.qlIRCurveSwapRateHelper(E127,I127/100,C127,-H127/10000,"USDLIB12M","USDOIS"),"")</f>
        <v>RHSWP@USBL7 Curncy#07:55:39</v>
      </c>
      <c r="N127" s="2">
        <v>44747</v>
      </c>
      <c r="O127" t="str">
        <v>0.85022655543916</v>
      </c>
    </row>
    <row r="128" spans="3:17" x14ac:dyDescent="0.25">
      <c r="C128" s="6" t="s">
        <v>43</v>
      </c>
      <c r="D128" s="6" t="s">
        <v>107</v>
      </c>
      <c r="E128" t="s">
        <v>150</v>
      </c>
      <c r="F128">
        <v>21.875</v>
      </c>
      <c r="G128">
        <v>21.875</v>
      </c>
      <c r="H128">
        <f t="shared" si="15"/>
        <v>21.875</v>
      </c>
      <c r="I128">
        <f>VLOOKUP(C128,USDValidation!$B$29:$E$49,4,FALSE)</f>
        <v>2.3595013498500146</v>
      </c>
      <c r="K128">
        <v>1</v>
      </c>
      <c r="L128" t="str">
        <f>IF(K128=1,_xll.qlIRCurveSwapRateHelper(E128,I128/100,C128,-H128/10000,"USDLIB12M","USDOIS"),"")</f>
        <v>RHSWP@USBL10 Curncy#07:55:39</v>
      </c>
      <c r="N128" s="2">
        <v>45840</v>
      </c>
      <c r="O128" t="str">
        <v>0.770475058783776</v>
      </c>
    </row>
    <row r="129" spans="3:15" x14ac:dyDescent="0.25">
      <c r="C129" s="6" t="s">
        <v>44</v>
      </c>
      <c r="D129" s="6" t="s">
        <v>108</v>
      </c>
      <c r="E129" t="s">
        <v>151</v>
      </c>
      <c r="F129">
        <v>21.75</v>
      </c>
      <c r="G129">
        <v>21.75</v>
      </c>
      <c r="H129">
        <f t="shared" si="15"/>
        <v>21.75</v>
      </c>
      <c r="I129">
        <f>VLOOKUP(C129,USDValidation!$B$29:$E$49,4,FALSE)</f>
        <v>2.4745012250168408</v>
      </c>
      <c r="K129">
        <v>1</v>
      </c>
      <c r="L129" t="str">
        <f>IF(K129=1,_xll.qlIRCurveSwapRateHelper(E129,I129/100,C129,-H129/10000,"USDLIB12M","USDOIS"),"")</f>
        <v>RHSWP@USBL12 Curncy#07:55:39</v>
      </c>
      <c r="N129" s="2">
        <v>46570</v>
      </c>
      <c r="O129" t="str">
        <v>0.720827164491256</v>
      </c>
    </row>
    <row r="130" spans="3:15" x14ac:dyDescent="0.25">
      <c r="C130" s="6" t="s">
        <v>45</v>
      </c>
      <c r="D130" s="6" t="s">
        <v>109</v>
      </c>
      <c r="E130" t="s">
        <v>152</v>
      </c>
      <c r="F130">
        <v>22.75</v>
      </c>
      <c r="G130">
        <v>22.75</v>
      </c>
      <c r="H130">
        <f t="shared" si="15"/>
        <v>22.75</v>
      </c>
      <c r="I130">
        <f>VLOOKUP(C130,USDValidation!$B$29:$E$49,4,FALSE)</f>
        <v>2.5853010755206829</v>
      </c>
      <c r="K130">
        <v>1</v>
      </c>
      <c r="L130" t="str">
        <f>IF(K130=1,_xll.qlIRCurveSwapRateHelper(E130,I130/100,C130,-H130/10000,"USDLIB12M","USDOIS"),"")</f>
        <v>RHSWP@USBL15 Curncy#07:55:39</v>
      </c>
      <c r="N130" s="4">
        <v>47666</v>
      </c>
      <c r="O130" t="str">
        <v>0.651372646695382</v>
      </c>
    </row>
    <row r="131" spans="3:15" x14ac:dyDescent="0.25">
      <c r="C131" s="6" t="s">
        <v>46</v>
      </c>
      <c r="D131" s="6" t="s">
        <v>110</v>
      </c>
      <c r="E131" t="s">
        <v>153</v>
      </c>
      <c r="F131">
        <v>23.25</v>
      </c>
      <c r="G131">
        <v>23.25</v>
      </c>
      <c r="H131">
        <f t="shared" si="15"/>
        <v>23.25</v>
      </c>
      <c r="I131">
        <f>VLOOKUP(C131,USDValidation!$B$29:$E$49,4,FALSE)</f>
        <v>2.6853009148146847</v>
      </c>
      <c r="K131">
        <v>1</v>
      </c>
      <c r="L131" t="str">
        <f>IF(K131=1,_xll.qlIRCurveSwapRateHelper(E131,I131/100,C131,-H131/10000,"USDLIB12M","USDOIS"),"")</f>
        <v>RHSWP@USBL20 Curncy#07:55:39</v>
      </c>
      <c r="N131" s="2">
        <v>49492</v>
      </c>
      <c r="O131" t="str">
        <v>0.552110961926063</v>
      </c>
    </row>
    <row r="132" spans="3:15" x14ac:dyDescent="0.25">
      <c r="C132" s="6" t="s">
        <v>47</v>
      </c>
      <c r="D132" s="6" t="s">
        <v>111</v>
      </c>
      <c r="E132" t="s">
        <v>154</v>
      </c>
      <c r="F132">
        <v>23</v>
      </c>
      <c r="G132">
        <v>23</v>
      </c>
      <c r="H132">
        <f t="shared" si="15"/>
        <v>23</v>
      </c>
      <c r="I132">
        <f>VLOOKUP(C132,USDValidation!$B$29:$E$49,4,FALSE)</f>
        <v>2.7307008054909265</v>
      </c>
      <c r="K132">
        <v>1</v>
      </c>
      <c r="L132" t="str">
        <f>IF(K132=1,_xll.qlIRCurveSwapRateHelper(E132,I132/100,C132,-H132/10000,"USDLIB12M","USDOIS"),"")</f>
        <v>RHSWP@USBL25 Curncy#07:55:39</v>
      </c>
      <c r="N132" s="2">
        <v>51319</v>
      </c>
      <c r="O132" t="str">
        <v>0.470967328705395</v>
      </c>
    </row>
    <row r="133" spans="3:15" x14ac:dyDescent="0.25">
      <c r="C133" s="6" t="s">
        <v>48</v>
      </c>
      <c r="D133" s="6" t="s">
        <v>112</v>
      </c>
      <c r="E133" t="s">
        <v>155</v>
      </c>
      <c r="F133">
        <v>23</v>
      </c>
      <c r="G133">
        <v>23</v>
      </c>
      <c r="H133">
        <f t="shared" si="15"/>
        <v>23</v>
      </c>
      <c r="I133">
        <f>VLOOKUP(C133,USDValidation!$B$29:$E$49,4,FALSE)</f>
        <v>2.7542985231280239</v>
      </c>
      <c r="K133">
        <v>1</v>
      </c>
      <c r="L133" t="str">
        <f>IF(K133=1,_xll.qlIRCurveSwapRateHelper(E133,I133/100,C133,-H133/10000,"USDLIB12M","USDOIS"),"")</f>
        <v>RHSWP@USBL30 Curncy#07:55:39</v>
      </c>
      <c r="N133" s="2">
        <v>53146</v>
      </c>
      <c r="O133" t="str">
        <v>0.402520075802253</v>
      </c>
    </row>
    <row r="134" spans="3:15" x14ac:dyDescent="0.25">
      <c r="N134" t="e">
        <v>#N/A</v>
      </c>
      <c r="O134" t="e">
        <v>#N/A</v>
      </c>
    </row>
    <row r="135" spans="3:15" x14ac:dyDescent="0.25">
      <c r="N135" t="e">
        <v>#N/A</v>
      </c>
      <c r="O135" t="e">
        <v>#N/A</v>
      </c>
    </row>
    <row r="136" spans="3:15" x14ac:dyDescent="0.25">
      <c r="C136" s="8" t="s">
        <v>192</v>
      </c>
      <c r="D136" s="8"/>
    </row>
    <row r="137" spans="3:15" x14ac:dyDescent="0.25">
      <c r="C137" s="6">
        <v>14</v>
      </c>
      <c r="D137" s="6" t="s">
        <v>166</v>
      </c>
      <c r="E137" t="s">
        <v>167</v>
      </c>
      <c r="F137">
        <v>14.693199999999999</v>
      </c>
      <c r="G137">
        <v>14.693199999999999</v>
      </c>
    </row>
    <row r="138" spans="3:15" x14ac:dyDescent="0.25">
      <c r="C138" s="6">
        <v>14</v>
      </c>
      <c r="D138" s="6" t="s">
        <v>38</v>
      </c>
      <c r="E138" t="s">
        <v>168</v>
      </c>
      <c r="F138">
        <v>18.3</v>
      </c>
      <c r="G138">
        <v>18.3</v>
      </c>
    </row>
    <row r="139" spans="3:15" x14ac:dyDescent="0.25">
      <c r="C139" s="6">
        <v>15</v>
      </c>
      <c r="D139" s="6" t="s">
        <v>39</v>
      </c>
      <c r="E139" t="s">
        <v>169</v>
      </c>
      <c r="F139">
        <v>20.1875</v>
      </c>
      <c r="G139">
        <v>20.1875</v>
      </c>
    </row>
    <row r="140" spans="3:15" x14ac:dyDescent="0.25">
      <c r="C140" s="6">
        <v>16</v>
      </c>
      <c r="D140" s="6" t="s">
        <v>40</v>
      </c>
      <c r="E140" t="s">
        <v>170</v>
      </c>
      <c r="F140">
        <v>21.006799999999998</v>
      </c>
      <c r="G140">
        <v>21.006799999999998</v>
      </c>
    </row>
    <row r="141" spans="3:15" x14ac:dyDescent="0.25">
      <c r="C141" s="6">
        <v>17</v>
      </c>
      <c r="D141" s="6" t="s">
        <v>41</v>
      </c>
      <c r="E141" t="s">
        <v>171</v>
      </c>
      <c r="F141">
        <v>21.7</v>
      </c>
      <c r="G141">
        <v>21.7</v>
      </c>
    </row>
    <row r="142" spans="3:15" x14ac:dyDescent="0.25">
      <c r="C142" s="6">
        <v>18</v>
      </c>
      <c r="D142" s="6" t="s">
        <v>42</v>
      </c>
      <c r="E142" t="s">
        <v>173</v>
      </c>
      <c r="F142">
        <v>22</v>
      </c>
      <c r="G142">
        <v>22</v>
      </c>
    </row>
    <row r="143" spans="3:15" x14ac:dyDescent="0.25">
      <c r="C143" s="6">
        <v>19</v>
      </c>
      <c r="D143" s="6" t="s">
        <v>43</v>
      </c>
      <c r="E143" t="s">
        <v>172</v>
      </c>
      <c r="F143">
        <v>22.3</v>
      </c>
      <c r="G143">
        <v>22.3</v>
      </c>
    </row>
    <row r="144" spans="3:15" x14ac:dyDescent="0.25">
      <c r="C144" s="6">
        <v>20</v>
      </c>
      <c r="D144" s="6" t="s">
        <v>44</v>
      </c>
      <c r="E144" t="s">
        <v>174</v>
      </c>
      <c r="F144">
        <v>22.625</v>
      </c>
      <c r="G144">
        <v>22.625</v>
      </c>
    </row>
    <row r="145" spans="3:7" x14ac:dyDescent="0.25">
      <c r="C145" s="6">
        <v>21</v>
      </c>
      <c r="D145" s="6" t="s">
        <v>45</v>
      </c>
      <c r="E145" t="s">
        <v>175</v>
      </c>
      <c r="F145">
        <v>22.7881</v>
      </c>
      <c r="G145">
        <v>22.7881</v>
      </c>
    </row>
    <row r="146" spans="3:7" x14ac:dyDescent="0.25">
      <c r="C146" s="6">
        <v>22</v>
      </c>
      <c r="D146" s="6" t="s">
        <v>46</v>
      </c>
      <c r="E146" t="s">
        <v>176</v>
      </c>
      <c r="F146">
        <v>22.9499</v>
      </c>
      <c r="G146">
        <v>22.9499</v>
      </c>
    </row>
    <row r="147" spans="3:7" x14ac:dyDescent="0.25">
      <c r="C147" s="6">
        <v>23</v>
      </c>
      <c r="D147" s="6" t="s">
        <v>47</v>
      </c>
      <c r="E147" t="s">
        <v>177</v>
      </c>
      <c r="F147">
        <v>23.1</v>
      </c>
      <c r="G147">
        <v>23.1</v>
      </c>
    </row>
    <row r="148" spans="3:7" x14ac:dyDescent="0.25">
      <c r="C148" s="6">
        <v>24</v>
      </c>
      <c r="D148" s="6" t="s">
        <v>48</v>
      </c>
      <c r="E148" t="s">
        <v>178</v>
      </c>
      <c r="F148">
        <v>23.252199999999998</v>
      </c>
      <c r="G148">
        <v>23.252199999999998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264"/>
  <sheetViews>
    <sheetView tabSelected="1" topLeftCell="A16" workbookViewId="0">
      <selection activeCell="O23" sqref="O23"/>
    </sheetView>
  </sheetViews>
  <sheetFormatPr defaultRowHeight="15" x14ac:dyDescent="0.25"/>
  <cols>
    <col min="2" max="2" width="10.85546875" bestFit="1" customWidth="1"/>
    <col min="3" max="3" width="14.42578125" customWidth="1"/>
    <col min="4" max="4" width="32.7109375" customWidth="1"/>
    <col min="5" max="5" width="13.28515625" customWidth="1"/>
    <col min="6" max="6" width="14.140625" customWidth="1"/>
    <col min="7" max="7" width="13.7109375" customWidth="1"/>
    <col min="10" max="10" width="9.7109375" bestFit="1" customWidth="1"/>
    <col min="12" max="12" width="10.5703125" customWidth="1"/>
    <col min="13" max="13" width="12.28515625" customWidth="1"/>
    <col min="14" max="14" width="22.140625" bestFit="1" customWidth="1"/>
    <col min="15" max="15" width="21" customWidth="1"/>
    <col min="16" max="16" width="15" customWidth="1"/>
    <col min="17" max="18" width="12.7109375" bestFit="1" customWidth="1"/>
  </cols>
  <sheetData>
    <row r="1" spans="2:31" x14ac:dyDescent="0.25">
      <c r="B1" s="14" t="s">
        <v>158</v>
      </c>
      <c r="C1" s="15" t="s">
        <v>163</v>
      </c>
      <c r="D1" s="15" t="s">
        <v>182</v>
      </c>
      <c r="E1" s="15" t="s">
        <v>164</v>
      </c>
      <c r="F1" s="15" t="s">
        <v>180</v>
      </c>
      <c r="G1" s="26" t="s">
        <v>181</v>
      </c>
      <c r="I1" s="11" t="s">
        <v>190</v>
      </c>
      <c r="J1" s="2">
        <f>USD!B2</f>
        <v>42185</v>
      </c>
      <c r="N1" s="54"/>
      <c r="O1" s="58" t="s">
        <v>201</v>
      </c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9"/>
    </row>
    <row r="2" spans="2:31" ht="15.75" thickBot="1" x14ac:dyDescent="0.3">
      <c r="B2" s="16" t="str">
        <f>USD!D4</f>
        <v>1W</v>
      </c>
      <c r="C2" s="28">
        <f>USD!H4*100</f>
        <v>0.14249999999999999</v>
      </c>
      <c r="D2" s="12" t="str">
        <f>_xll.qlInstIROISSwap("OISSWAP_"&amp;B2,TRUE,1000,0,USD!$B$3,B2,USD!$Q$2,,USD!$O$2)</f>
        <v>SWP@OISSWAP_1W#07:55:38</v>
      </c>
      <c r="E2" s="30">
        <f>_xll.qlInstGetInstrumentNPV(D2,"FAIRRATE")*100</f>
        <v>0.14250000000107627</v>
      </c>
      <c r="F2" s="32">
        <f t="shared" ref="F2:F3" si="0">(C2-E2)*100</f>
        <v>-1.0762779556472424E-10</v>
      </c>
      <c r="G2" s="34">
        <f t="shared" ref="G2:G3" si="1">F2/100/C2</f>
        <v>-7.552827758928017E-12</v>
      </c>
      <c r="I2" s="11"/>
      <c r="J2" s="2"/>
      <c r="N2" s="55"/>
      <c r="O2" s="56" t="s">
        <v>31</v>
      </c>
      <c r="P2" s="56" t="s">
        <v>34</v>
      </c>
      <c r="Q2" s="56" t="s">
        <v>35</v>
      </c>
      <c r="R2" s="56" t="s">
        <v>166</v>
      </c>
      <c r="S2" s="56" t="s">
        <v>37</v>
      </c>
      <c r="T2" s="56" t="s">
        <v>38</v>
      </c>
      <c r="U2" s="56" t="s">
        <v>39</v>
      </c>
      <c r="V2" s="56" t="s">
        <v>40</v>
      </c>
      <c r="W2" s="56" t="s">
        <v>41</v>
      </c>
      <c r="X2" s="56" t="s">
        <v>185</v>
      </c>
      <c r="Y2" s="56" t="s">
        <v>42</v>
      </c>
      <c r="Z2" s="56" t="s">
        <v>43</v>
      </c>
      <c r="AA2" s="56" t="s">
        <v>44</v>
      </c>
      <c r="AB2" s="56" t="s">
        <v>45</v>
      </c>
      <c r="AC2" s="56" t="s">
        <v>46</v>
      </c>
      <c r="AD2" s="56" t="s">
        <v>47</v>
      </c>
      <c r="AE2" s="57" t="s">
        <v>48</v>
      </c>
    </row>
    <row r="3" spans="2:31" x14ac:dyDescent="0.25">
      <c r="B3" s="16" t="str">
        <f>USD!D5</f>
        <v>2W</v>
      </c>
      <c r="C3" s="28">
        <f>USD!H5*100</f>
        <v>0.14249999999999999</v>
      </c>
      <c r="D3" s="12" t="str">
        <f>_xll.qlInstIROISSwap("OISSWAP_"&amp;B3,TRUE,1000,0,USD!$B$3,B3,USD!$Q$2,,USD!$O$2)</f>
        <v>SWP@OISSWAP_2W#07:55:39</v>
      </c>
      <c r="E3" s="30">
        <f>_xll.qlInstGetInstrumentNPV(D3,"FAIRRATE")*100</f>
        <v>0.14249999999993435</v>
      </c>
      <c r="F3" s="32">
        <f t="shared" si="0"/>
        <v>6.564193633096238E-12</v>
      </c>
      <c r="G3" s="34">
        <f t="shared" si="1"/>
        <v>4.6064516723482373E-13</v>
      </c>
      <c r="I3" s="11"/>
      <c r="J3" s="2"/>
      <c r="N3" s="39" t="s">
        <v>202</v>
      </c>
      <c r="O3" s="40" t="str">
        <f>"Demo"&amp;$O$1&amp;O2</f>
        <v>DemoUSD1M3M</v>
      </c>
    </row>
    <row r="4" spans="2:31" x14ac:dyDescent="0.25">
      <c r="B4" s="16" t="str">
        <f>USD!D6</f>
        <v>3W</v>
      </c>
      <c r="C4" s="28">
        <f>USD!H6*100</f>
        <v>0.13700000000000001</v>
      </c>
      <c r="D4" s="12" t="str">
        <f>_xll.qlInstIROISSwap("OISSWAP_"&amp;B4,TRUE,1000,0,USD!$B$3,B4,USD!$Q$2,,USD!$O$2)</f>
        <v>SWP@OISSWAP_3W#07:55:38</v>
      </c>
      <c r="E4" s="30">
        <f>_xll.qlInstGetInstrumentNPV(D4,"FAIRRATE")*100</f>
        <v>0.13699999965943732</v>
      </c>
      <c r="F4" s="32">
        <f>(C4-E4)*100</f>
        <v>3.4056268916060617E-8</v>
      </c>
      <c r="G4" s="34">
        <f>F4/100/C4</f>
        <v>2.4858590449679279E-9</v>
      </c>
      <c r="I4" s="11"/>
      <c r="J4" s="2"/>
      <c r="N4" s="39" t="s">
        <v>203</v>
      </c>
      <c r="O4" s="41" t="s">
        <v>204</v>
      </c>
    </row>
    <row r="5" spans="2:31" x14ac:dyDescent="0.25">
      <c r="B5" s="16" t="str">
        <f>USD!D7</f>
        <v>1M</v>
      </c>
      <c r="C5" s="28">
        <f>USD!H7*100</f>
        <v>0.13700000000000001</v>
      </c>
      <c r="D5" s="12" t="str">
        <f>_xll.qlInstIROISSwap("OISSWAP_"&amp;B5,TRUE,1000,0,USD!$B$3,B5,USD!$Q$2,,USD!$O$2)</f>
        <v>SWP@OISSWAP_1M#07:55:38</v>
      </c>
      <c r="E5" s="30">
        <f>_xll.qlInstGetInstrumentNPV(D5,"FAIRRATE")*100</f>
        <v>0.13699999999974841</v>
      </c>
      <c r="F5" s="32">
        <f>(C5-E5)*100</f>
        <v>2.516042929556761E-11</v>
      </c>
      <c r="G5" s="34">
        <f t="shared" ref="G5" si="2">F5/100/C5</f>
        <v>1.8365276858078546E-12</v>
      </c>
      <c r="N5" s="39" t="s">
        <v>205</v>
      </c>
      <c r="O5" s="41" t="s">
        <v>206</v>
      </c>
    </row>
    <row r="6" spans="2:31" x14ac:dyDescent="0.25">
      <c r="B6" s="16" t="str">
        <f>USD!D8</f>
        <v>2M</v>
      </c>
      <c r="C6" s="28">
        <f>USD!H8*100</f>
        <v>0.16950000000000001</v>
      </c>
      <c r="D6" s="12" t="str">
        <f>_xll.qlInstIROISSwap("OISSWAP_"&amp;B6,TRUE,1000,0,USD!$B$3,B6,USD!$Q$2,,USD!$O$2)</f>
        <v>SWP@OISSWAP_2M#07:55:39</v>
      </c>
      <c r="E6" s="30">
        <f>_xll.qlInstGetInstrumentNPV(D6,"FAIRRATE")*100</f>
        <v>0.1694999999999694</v>
      </c>
      <c r="F6" s="32">
        <f t="shared" ref="F6:F25" si="3">(C6-E6)*100</f>
        <v>3.0614399904038692E-12</v>
      </c>
      <c r="G6" s="35">
        <f t="shared" ref="G6:G25" si="4">F6/100/C6</f>
        <v>1.806159286373964E-13</v>
      </c>
      <c r="N6" s="39" t="s">
        <v>207</v>
      </c>
      <c r="O6" s="41" t="s">
        <v>208</v>
      </c>
    </row>
    <row r="7" spans="2:31" x14ac:dyDescent="0.25">
      <c r="B7" s="16" t="str">
        <f>USD!D9</f>
        <v>3M</v>
      </c>
      <c r="C7" s="28">
        <f>USD!H9*100</f>
        <v>0.20349999999999999</v>
      </c>
      <c r="D7" s="12" t="str">
        <f>_xll.qlInstIROISSwap("OISSWAP_"&amp;B7,TRUE,1000,0,USD!$B$3,B7,USD!$Q$2,,USD!$O$2)</f>
        <v>SWP@OISSWAP_3M#07:55:38</v>
      </c>
      <c r="E7" s="30">
        <f>_xll.qlInstGetInstrumentNPV(D7,"FAIRRATE")*100</f>
        <v>0.20349999999991694</v>
      </c>
      <c r="F7" s="32">
        <f t="shared" si="3"/>
        <v>8.3044682241961709E-12</v>
      </c>
      <c r="G7" s="35">
        <f t="shared" si="4"/>
        <v>4.0808197661897648E-13</v>
      </c>
      <c r="N7" s="39" t="s">
        <v>209</v>
      </c>
      <c r="O7" s="41"/>
    </row>
    <row r="8" spans="2:31" x14ac:dyDescent="0.25">
      <c r="B8" s="16" t="str">
        <f>USD!D10</f>
        <v>4M</v>
      </c>
      <c r="C8" s="28">
        <f>USD!H10*100</f>
        <v>0.2185</v>
      </c>
      <c r="D8" s="12" t="str">
        <f>_xll.qlInstIROISSwap("OISSWAP_"&amp;B8,TRUE,1000,0,USD!$B$3,B8,USD!$Q$2,,USD!$O$2)</f>
        <v>SWP@OISSWAP_4M#07:55:39</v>
      </c>
      <c r="E8" s="30">
        <f>_xll.qlInstGetInstrumentNPV(D8,"FAIRRATE")*100</f>
        <v>0.21849999999996431</v>
      </c>
      <c r="F8" s="32">
        <f t="shared" si="3"/>
        <v>3.5693670241698783E-12</v>
      </c>
      <c r="G8" s="35">
        <f t="shared" si="4"/>
        <v>1.6335775854324386E-13</v>
      </c>
      <c r="N8" s="39" t="s">
        <v>210</v>
      </c>
      <c r="O8" s="41" t="s">
        <v>211</v>
      </c>
    </row>
    <row r="9" spans="2:31" x14ac:dyDescent="0.25">
      <c r="B9" s="16" t="str">
        <f>USD!D11</f>
        <v>5M</v>
      </c>
      <c r="C9" s="28">
        <f>USD!H11*100</f>
        <v>0.24550000000000002</v>
      </c>
      <c r="D9" s="12" t="str">
        <f>_xll.qlInstIROISSwap("OISSWAP_"&amp;B9,TRUE,1000,0,USD!$B$3,B9,USD!$Q$2,,USD!$O$2)</f>
        <v>SWP@OISSWAP_5M#07:55:39</v>
      </c>
      <c r="E9" s="30">
        <f>_xll.qlInstGetInstrumentNPV(D9,"FAIRRATE")*100</f>
        <v>0.24549999999980721</v>
      </c>
      <c r="F9" s="32">
        <f t="shared" si="3"/>
        <v>1.9281798380177406E-11</v>
      </c>
      <c r="G9" s="35">
        <f t="shared" si="4"/>
        <v>7.8540930265488412E-13</v>
      </c>
      <c r="N9" s="39" t="s">
        <v>212</v>
      </c>
      <c r="O9" s="41">
        <v>2</v>
      </c>
    </row>
    <row r="10" spans="2:31" x14ac:dyDescent="0.25">
      <c r="B10" s="16" t="str">
        <f>USD!D12</f>
        <v>6M</v>
      </c>
      <c r="C10" s="28">
        <f>USD!H12*100</f>
        <v>0.27400000000000002</v>
      </c>
      <c r="D10" s="12" t="str">
        <f>_xll.qlInstIROISSwap("OISSWAP_"&amp;B10,TRUE,1000,0,USD!$B$3,B10,USD!$Q$2,,USD!$O$2)</f>
        <v>SWP@OISSWAP_6M#07:55:38</v>
      </c>
      <c r="E10" s="30">
        <f>_xll.qlInstGetInstrumentNPV(D10,"FAIRRATE")*100</f>
        <v>0.27399999999953445</v>
      </c>
      <c r="F10" s="32">
        <f t="shared" si="3"/>
        <v>4.655720253765594E-11</v>
      </c>
      <c r="G10" s="35">
        <f t="shared" si="4"/>
        <v>1.6991679758268591E-12</v>
      </c>
      <c r="N10" s="39" t="s">
        <v>213</v>
      </c>
      <c r="O10" s="42">
        <f>$J$1</f>
        <v>42185</v>
      </c>
    </row>
    <row r="11" spans="2:31" x14ac:dyDescent="0.25">
      <c r="B11" s="16" t="str">
        <f>USD!D13</f>
        <v>9M</v>
      </c>
      <c r="C11" s="28">
        <f>USD!H13*100</f>
        <v>0.34949999999999998</v>
      </c>
      <c r="D11" s="12" t="str">
        <f>_xll.qlInstIROISSwap("OISSWAP_"&amp;B11,TRUE,1000,0,USD!$B$3,B11,USD!$Q$2,,USD!$O$2)</f>
        <v>SWP@OISSWAP_9M#07:55:38</v>
      </c>
      <c r="E11" s="30">
        <f>_xll.qlInstGetInstrumentNPV(D11,"FAIRRATE")*100</f>
        <v>0.34949999999998177</v>
      </c>
      <c r="F11" s="32">
        <f t="shared" si="3"/>
        <v>1.8207657603852567E-12</v>
      </c>
      <c r="G11" s="35">
        <f t="shared" si="4"/>
        <v>5.209630215694583E-14</v>
      </c>
      <c r="N11" s="39" t="s">
        <v>214</v>
      </c>
      <c r="O11" s="41"/>
    </row>
    <row r="12" spans="2:31" x14ac:dyDescent="0.25">
      <c r="B12" s="16" t="str">
        <f>USD!D14</f>
        <v>12M</v>
      </c>
      <c r="C12" s="28">
        <f>USD!H14*100</f>
        <v>0.432</v>
      </c>
      <c r="D12" s="12" t="str">
        <f>_xll.qlInstIROISSwap("OISSWAP_"&amp;B12,TRUE,1000,0,USD!$B$3,B12,USD!$Q$2,,USD!$O$2)</f>
        <v>SWP@OISSWAP_12M#07:55:38</v>
      </c>
      <c r="E12" s="30">
        <f>_xll.qlInstGetInstrumentNPV(D12,"FAIRRATE")*100</f>
        <v>0.43199999999998784</v>
      </c>
      <c r="F12" s="32">
        <f t="shared" si="3"/>
        <v>1.2156942119645464E-12</v>
      </c>
      <c r="G12" s="35">
        <f t="shared" si="4"/>
        <v>2.8141069721401538E-14</v>
      </c>
      <c r="N12" s="39" t="s">
        <v>215</v>
      </c>
      <c r="O12" s="41"/>
    </row>
    <row r="13" spans="2:31" x14ac:dyDescent="0.25">
      <c r="B13" s="16" t="str">
        <f>USD!D15</f>
        <v>18M</v>
      </c>
      <c r="C13" s="28">
        <f>USD!H15*100</f>
        <v>0.60550000000000004</v>
      </c>
      <c r="D13" s="12" t="str">
        <f>_xll.qlInstIROISSwap("OISSWAP_"&amp;B13,TRUE,1000,0,USD!$B$3,B13,USD!$Q$2,,USD!$O$2)</f>
        <v>SWP@OISSWAP_18M#07:55:38</v>
      </c>
      <c r="E13" s="30">
        <f>_xll.qlInstGetInstrumentNPV(D13,"FAIRRATE")*100</f>
        <v>0.60514510554804757</v>
      </c>
      <c r="F13" s="32">
        <f t="shared" si="3"/>
        <v>3.5489445195246994E-2</v>
      </c>
      <c r="G13" s="35">
        <f t="shared" si="4"/>
        <v>5.861180048760857E-4</v>
      </c>
      <c r="N13" s="39" t="s">
        <v>216</v>
      </c>
      <c r="O13" s="41" t="str">
        <f>O2</f>
        <v>3M</v>
      </c>
    </row>
    <row r="14" spans="2:31" ht="15.75" thickBot="1" x14ac:dyDescent="0.3">
      <c r="B14" s="16" t="str">
        <f>USD!D16</f>
        <v>2Y</v>
      </c>
      <c r="C14" s="28">
        <f>USD!H16*100</f>
        <v>0.77949999999999997</v>
      </c>
      <c r="D14" s="12" t="str">
        <f>_xll.qlInstIROISSwap("OISSWAP_"&amp;B14,TRUE,1000,0,USD!$B$3,B14,USD!$Q$2,,USD!$O$2)</f>
        <v>SWP@OISSWAP_2Y#07:55:38</v>
      </c>
      <c r="E14" s="30">
        <f>_xll.qlInstGetInstrumentNPV(D14,"FAIRRATE")*100</f>
        <v>0.77949999999999531</v>
      </c>
      <c r="F14" s="32">
        <f t="shared" si="3"/>
        <v>4.6629367034256575E-13</v>
      </c>
      <c r="G14" s="35">
        <f t="shared" si="4"/>
        <v>5.9819585675762124E-15</v>
      </c>
      <c r="N14" s="43" t="s">
        <v>217</v>
      </c>
      <c r="O14" s="44" t="b">
        <v>0</v>
      </c>
    </row>
    <row r="15" spans="2:31" x14ac:dyDescent="0.25">
      <c r="B15" s="16" t="str">
        <f>USD!D17</f>
        <v>3Y</v>
      </c>
      <c r="C15" s="28">
        <f>USD!H17*100</f>
        <v>1.0820000000000001</v>
      </c>
      <c r="D15" s="12" t="str">
        <f>_xll.qlInstIROISSwap("OISSWAP_"&amp;B15,TRUE,1000,0,USD!$B$3,B15,USD!$Q$2,,USD!$O$2)</f>
        <v>SWP@OISSWAP_3Y#07:55:38</v>
      </c>
      <c r="E15" s="30">
        <f>_xll.qlInstGetInstrumentNPV(D15,"FAIRRATE")*100</f>
        <v>1.0819999999999919</v>
      </c>
      <c r="F15" s="32">
        <f t="shared" si="3"/>
        <v>8.2156503822261584E-13</v>
      </c>
      <c r="G15" s="35">
        <f t="shared" si="4"/>
        <v>7.5930225344049512E-15</v>
      </c>
      <c r="N15" s="45" t="s">
        <v>218</v>
      </c>
      <c r="O15" s="46" t="s">
        <v>159</v>
      </c>
    </row>
    <row r="16" spans="2:31" x14ac:dyDescent="0.25">
      <c r="B16" s="16" t="str">
        <f>USD!D18</f>
        <v>4Y</v>
      </c>
      <c r="C16" s="28">
        <f>USD!H18*100</f>
        <v>1.337</v>
      </c>
      <c r="D16" s="12" t="str">
        <f>_xll.qlInstIROISSwap("OISSWAP_"&amp;B16,TRUE,1000,0,USD!$B$3,B16,USD!$Q$2,,USD!$O$2)</f>
        <v>SWP@OISSWAP_4Y#07:55:39</v>
      </c>
      <c r="E16" s="30">
        <f>_xll.qlInstGetInstrumentNPV(D16,"FAIRRATE")*100</f>
        <v>1.3370000000000029</v>
      </c>
      <c r="F16" s="32">
        <f t="shared" si="3"/>
        <v>-2.886579864025407E-13</v>
      </c>
      <c r="G16" s="35">
        <f t="shared" si="4"/>
        <v>-2.1589976544692648E-15</v>
      </c>
      <c r="N16" s="45" t="s">
        <v>219</v>
      </c>
      <c r="O16" s="46" t="s">
        <v>233</v>
      </c>
    </row>
    <row r="17" spans="2:15" x14ac:dyDescent="0.25">
      <c r="B17" s="16" t="str">
        <f>USD!D19</f>
        <v>5Y</v>
      </c>
      <c r="C17" s="28">
        <f>USD!H19*100</f>
        <v>1.544</v>
      </c>
      <c r="D17" s="12" t="str">
        <f>_xll.qlInstIROISSwap("OISSWAP_"&amp;B17,TRUE,1000,0,USD!$B$3,B17,USD!$Q$2,,USD!$O$2)</f>
        <v>SWP@OISSWAP_5Y#07:55:38</v>
      </c>
      <c r="E17" s="30">
        <f>_xll.qlInstGetInstrumentNPV(D17,"FAIRRATE")*100</f>
        <v>1.5439999999999998</v>
      </c>
      <c r="F17" s="32">
        <f t="shared" si="3"/>
        <v>2.2204460492503131E-14</v>
      </c>
      <c r="G17" s="35">
        <f t="shared" si="4"/>
        <v>1.4381127261983892E-16</v>
      </c>
      <c r="N17" s="45" t="s">
        <v>220</v>
      </c>
      <c r="O17" s="46" t="s">
        <v>221</v>
      </c>
    </row>
    <row r="18" spans="2:15" x14ac:dyDescent="0.25">
      <c r="B18" s="16" t="str">
        <f>USD!D20</f>
        <v>7Y</v>
      </c>
      <c r="C18" s="28">
        <f>USD!H20*100</f>
        <v>1.8464999999999998</v>
      </c>
      <c r="D18" s="12" t="str">
        <f>_xll.qlInstIROISSwap("OISSWAP_"&amp;B18,TRUE,1000,0,USD!$B$3,B18,USD!$Q$2,,USD!$O$2)</f>
        <v>SWP@OISSWAP_7Y#07:55:38</v>
      </c>
      <c r="E18" s="30">
        <f>_xll.qlInstGetInstrumentNPV(D18,"FAIRRATE")*100</f>
        <v>1.8464999999999909</v>
      </c>
      <c r="F18" s="32">
        <f t="shared" si="3"/>
        <v>8.8817841970012523E-13</v>
      </c>
      <c r="G18" s="35">
        <f t="shared" si="4"/>
        <v>4.8100645529386693E-15</v>
      </c>
      <c r="N18" s="45" t="s">
        <v>222</v>
      </c>
      <c r="O18" s="46" t="s">
        <v>243</v>
      </c>
    </row>
    <row r="19" spans="2:15" x14ac:dyDescent="0.25">
      <c r="B19" s="16" t="str">
        <f>USD!D21</f>
        <v>10Y</v>
      </c>
      <c r="C19" s="28">
        <f>USD!H21*100</f>
        <v>2.1280000000000001</v>
      </c>
      <c r="D19" s="12" t="str">
        <f>_xll.qlInstIROISSwap("OISSWAP_"&amp;B19,TRUE,1000,0,USD!$B$3,B19,USD!$Q$2,,USD!$O$2)</f>
        <v>SWP@OISSWAP_10Y#07:55:38</v>
      </c>
      <c r="E19" s="30">
        <f>_xll.qlInstGetInstrumentNPV(D19,"FAIRRATE")*100</f>
        <v>2.1279999999999992</v>
      </c>
      <c r="F19" s="32">
        <f t="shared" si="3"/>
        <v>8.8817841970012523E-14</v>
      </c>
      <c r="G19" s="35">
        <f t="shared" si="4"/>
        <v>4.1737707692675058E-16</v>
      </c>
      <c r="N19" s="45" t="s">
        <v>223</v>
      </c>
      <c r="O19" s="46" t="s">
        <v>224</v>
      </c>
    </row>
    <row r="20" spans="2:15" x14ac:dyDescent="0.25">
      <c r="B20" s="16" t="str">
        <f>USD!D22</f>
        <v>12Y</v>
      </c>
      <c r="C20" s="28">
        <f>USD!H22*100</f>
        <v>2.2330000000000001</v>
      </c>
      <c r="D20" s="12" t="str">
        <f>_xll.qlInstIROISSwap("OISSWAP_"&amp;B20,TRUE,1000,0,USD!$B$3,B20,USD!$Q$2,,USD!$O$2)</f>
        <v>SWP@OISSWAP_12Y#07:55:38</v>
      </c>
      <c r="E20" s="30">
        <f>_xll.qlInstGetInstrumentNPV(D20,"FAIRRATE")*100</f>
        <v>2.2330000000000472</v>
      </c>
      <c r="F20" s="32">
        <f t="shared" si="3"/>
        <v>-4.7073456244106637E-12</v>
      </c>
      <c r="G20" s="35">
        <f t="shared" si="4"/>
        <v>-2.1080813365027602E-14</v>
      </c>
      <c r="N20" s="45" t="s">
        <v>225</v>
      </c>
      <c r="O20" s="46" t="s">
        <v>226</v>
      </c>
    </row>
    <row r="21" spans="2:15" x14ac:dyDescent="0.25">
      <c r="B21" s="16" t="str">
        <f>USD!D23</f>
        <v>15Y</v>
      </c>
      <c r="C21" s="28">
        <f>USD!H23*100</f>
        <v>2.3425000000000002</v>
      </c>
      <c r="D21" s="12" t="str">
        <f>_xll.qlInstIROISSwap("OISSWAP_"&amp;B21,TRUE,1000,0,USD!$B$3,B21,USD!$Q$2,,USD!$O$2)</f>
        <v>SWP@OISSWAP_15Y#07:55:38</v>
      </c>
      <c r="E21" s="30">
        <f>_xll.qlInstGetInstrumentNPV(D21,"FAIRRATE")*100</f>
        <v>2.3424999999999998</v>
      </c>
      <c r="F21" s="32">
        <f t="shared" si="3"/>
        <v>4.4408920985006262E-14</v>
      </c>
      <c r="G21" s="35">
        <f t="shared" si="4"/>
        <v>1.8957917176096588E-16</v>
      </c>
      <c r="N21" s="45" t="s">
        <v>227</v>
      </c>
      <c r="O21" s="46" t="b">
        <v>1</v>
      </c>
    </row>
    <row r="22" spans="2:15" x14ac:dyDescent="0.25">
      <c r="B22" s="16" t="str">
        <f>USD!D24</f>
        <v>20Y</v>
      </c>
      <c r="C22" s="28">
        <f>USD!H24*100</f>
        <v>2.4435000000000002</v>
      </c>
      <c r="D22" s="12" t="str">
        <f>_xll.qlInstIROISSwap("OISSWAP_"&amp;B22,TRUE,1000,0,USD!$B$3,B22,USD!$Q$2,,USD!$O$2)</f>
        <v>SWP@OISSWAP_20Y#07:55:39</v>
      </c>
      <c r="E22" s="30">
        <f>_xll.qlInstGetInstrumentNPV(D22,"FAIRRATE")*100</f>
        <v>2.4435000000000007</v>
      </c>
      <c r="F22" s="32">
        <f t="shared" si="3"/>
        <v>-4.4408920985006262E-14</v>
      </c>
      <c r="G22" s="35">
        <f t="shared" si="4"/>
        <v>-1.8174307749132907E-16</v>
      </c>
      <c r="N22" s="45" t="s">
        <v>228</v>
      </c>
      <c r="O22" s="47">
        <v>0.02</v>
      </c>
    </row>
    <row r="23" spans="2:15" x14ac:dyDescent="0.25">
      <c r="B23" s="16" t="str">
        <f>USD!D25</f>
        <v>25Y</v>
      </c>
      <c r="C23" s="28">
        <f>USD!H25*100</f>
        <v>2.4864999999999999</v>
      </c>
      <c r="D23" s="12" t="str">
        <f>_xll.qlInstIROISSwap("OISSWAP_"&amp;B23,TRUE,1000,0,USD!$B$3,B23,USD!$Q$2,,USD!$O$2)</f>
        <v>SWP@OISSWAP_25Y#07:55:39</v>
      </c>
      <c r="E23" s="30">
        <f>_xll.qlInstGetInstrumentNPV(D23,"FAIRRATE")*100</f>
        <v>2.4864999999999999</v>
      </c>
      <c r="F23" s="32">
        <f t="shared" si="3"/>
        <v>0</v>
      </c>
      <c r="G23" s="35">
        <f t="shared" si="4"/>
        <v>0</v>
      </c>
      <c r="N23" s="45" t="s">
        <v>229</v>
      </c>
      <c r="O23" s="48">
        <v>1000000</v>
      </c>
    </row>
    <row r="24" spans="2:15" ht="15.75" thickBot="1" x14ac:dyDescent="0.3">
      <c r="B24" s="16" t="str">
        <f>USD!D26</f>
        <v>30Y</v>
      </c>
      <c r="C24" s="28">
        <f>USD!H26*100</f>
        <v>2.5070000000000001</v>
      </c>
      <c r="D24" s="12" t="str">
        <f>_xll.qlInstIROISSwap("OISSWAP_"&amp;B24,TRUE,1000,0,USD!$B$3,B24,USD!$Q$2,,USD!$O$2)</f>
        <v>SWP@OISSWAP_30Y#07:55:38</v>
      </c>
      <c r="E24" s="30">
        <f>_xll.qlInstGetInstrumentNPV(D24,"FAIRRATE")*100</f>
        <v>2.5070000000000014</v>
      </c>
      <c r="F24" s="32">
        <f t="shared" si="3"/>
        <v>-1.3322676295501878E-13</v>
      </c>
      <c r="G24" s="35">
        <f t="shared" si="4"/>
        <v>-5.3141907840055358E-16</v>
      </c>
      <c r="N24" s="49" t="s">
        <v>230</v>
      </c>
      <c r="O24" s="50"/>
    </row>
    <row r="25" spans="2:15" ht="15.75" thickBot="1" x14ac:dyDescent="0.3">
      <c r="B25" s="17" t="str">
        <f>USD!D27</f>
        <v>40Y</v>
      </c>
      <c r="C25" s="29">
        <f>USD!H27*100</f>
        <v>2.5308000000000002</v>
      </c>
      <c r="D25" s="13" t="str">
        <f>_xll.qlInstIROISSwap("OISSWAP_"&amp;B25,TRUE,1000,0,USD!$B$3,B25,USD!$Q$2,,USD!$O$2)</f>
        <v>SWP@OISSWAP_40Y#07:55:38</v>
      </c>
      <c r="E25" s="31">
        <f>_xll.qlInstGetInstrumentNPV(D25,"FAIRRATE")*100</f>
        <v>2.5308000000000006</v>
      </c>
      <c r="F25" s="33">
        <f t="shared" si="3"/>
        <v>-4.4408920985006262E-14</v>
      </c>
      <c r="G25" s="36">
        <f t="shared" si="4"/>
        <v>-1.7547384615539062E-16</v>
      </c>
      <c r="N25" s="51" t="s">
        <v>231</v>
      </c>
      <c r="O25" s="52" t="s">
        <v>160</v>
      </c>
    </row>
    <row r="26" spans="2:15" ht="15.75" thickBot="1" x14ac:dyDescent="0.3">
      <c r="I26" s="11"/>
      <c r="J26" s="2"/>
      <c r="K26" s="11"/>
      <c r="L26" s="2"/>
      <c r="N26" s="53" t="s">
        <v>232</v>
      </c>
      <c r="O26" s="46" t="s">
        <v>244</v>
      </c>
    </row>
    <row r="27" spans="2:15" x14ac:dyDescent="0.25">
      <c r="B27" s="14" t="s">
        <v>159</v>
      </c>
      <c r="C27" s="15" t="s">
        <v>199</v>
      </c>
      <c r="D27" s="15" t="s">
        <v>182</v>
      </c>
      <c r="E27" s="15" t="s">
        <v>179</v>
      </c>
      <c r="F27" s="15" t="s">
        <v>180</v>
      </c>
      <c r="G27" s="26" t="s">
        <v>181</v>
      </c>
      <c r="I27" s="24" t="s">
        <v>200</v>
      </c>
      <c r="J27" s="23" t="str">
        <f>_xll.qlOpRootPath()</f>
        <v>C:\Letian\QLExtension\Output\</v>
      </c>
      <c r="N27" s="53" t="s">
        <v>234</v>
      </c>
      <c r="O27" s="46" t="s">
        <v>221</v>
      </c>
    </row>
    <row r="28" spans="2:15" x14ac:dyDescent="0.25">
      <c r="B28" s="16" t="s">
        <v>29</v>
      </c>
      <c r="C28" s="18"/>
      <c r="D28" s="12" t="str">
        <f>_xll.qlInstIRVanillaSwap("SWAP_"&amp;B28,TRUE,1000,C28/100,USD!$B$3,B28,USD!$Q$33,,USD!$O$2)</f>
        <v>SWP@SWAP_1M#07:55:39</v>
      </c>
      <c r="E28" s="37">
        <f>_xll.qlInstGetInstrumentNPV(D28,"FAIRRATE")*100</f>
        <v>0.32084592122755096</v>
      </c>
      <c r="F28" s="18"/>
      <c r="G28" s="27"/>
      <c r="N28" s="53" t="s">
        <v>235</v>
      </c>
      <c r="O28" s="46" t="s">
        <v>243</v>
      </c>
    </row>
    <row r="29" spans="2:15" x14ac:dyDescent="0.25">
      <c r="B29" s="16" t="s">
        <v>31</v>
      </c>
      <c r="C29" s="18"/>
      <c r="D29" s="12" t="str">
        <f>_xll.qlInstIRVanillaSwap("SWAP_"&amp;B29,TRUE,1000,C29/100,USD!$B$3,B29,USD!$Q$33,,USD!$O$2)</f>
        <v>SWP@SWAP_3M#07:55:39</v>
      </c>
      <c r="E29" s="37">
        <f>_xll.qlInstGetInstrumentNPV(D29,"FAIRRATE")*100</f>
        <v>0.31780888885899478</v>
      </c>
      <c r="F29" s="18"/>
      <c r="G29" s="27"/>
      <c r="N29" s="53" t="s">
        <v>236</v>
      </c>
      <c r="O29" s="46" t="s">
        <v>224</v>
      </c>
    </row>
    <row r="30" spans="2:15" x14ac:dyDescent="0.25">
      <c r="B30" s="16" t="s">
        <v>34</v>
      </c>
      <c r="C30" s="18"/>
      <c r="D30" s="12" t="str">
        <f>_xll.qlInstIRVanillaSwap("SWAP_"&amp;B30,TRUE,1000,C30/100,USD!$B$3,B30,USD!$Q$33,,USD!$O$2)</f>
        <v>SWP@SWAP_6M#07:55:39</v>
      </c>
      <c r="E30" s="37">
        <f>_xll.qlInstGetInstrumentNPV(D30,"FAIRRATE")*100</f>
        <v>0.41892495677268532</v>
      </c>
      <c r="F30" s="18"/>
      <c r="G30" s="27"/>
      <c r="N30" s="53" t="s">
        <v>237</v>
      </c>
      <c r="O30" s="46" t="s">
        <v>226</v>
      </c>
    </row>
    <row r="31" spans="2:15" x14ac:dyDescent="0.25">
      <c r="B31" s="16" t="s">
        <v>35</v>
      </c>
      <c r="C31" s="18"/>
      <c r="D31" s="12" t="str">
        <f>_xll.qlInstIRVanillaSwap("SWAP_"&amp;B31,TRUE,1000,C31/100,USD!$B$3,B31,USD!$Q$33,,USD!$O$2)</f>
        <v>SWP@SWAP_9M#07:55:39</v>
      </c>
      <c r="E31" s="37">
        <f>_xll.qlInstGetInstrumentNPV(D31,"FAIRRATE")*100</f>
        <v>0.50400427961653693</v>
      </c>
      <c r="F31" s="18"/>
      <c r="G31" s="27"/>
      <c r="N31" s="53" t="s">
        <v>238</v>
      </c>
      <c r="O31" s="46" t="b">
        <v>1</v>
      </c>
    </row>
    <row r="32" spans="2:15" x14ac:dyDescent="0.25">
      <c r="B32" s="16" t="s">
        <v>166</v>
      </c>
      <c r="C32" s="28">
        <f>VLOOKUP(B32,USD!$C$58:$F$75,4,FALSE)</f>
        <v>0.59150000000000003</v>
      </c>
      <c r="D32" s="12" t="str">
        <f>_xll.qlInstIRVanillaSwap("SWAP_"&amp;B32,TRUE,1000,C32/100,USD!$B$3,B32,USD!$Q$33,,USD!$O$2)</f>
        <v>SWP@SWAP_1Y#07:55:39</v>
      </c>
      <c r="E32" s="37">
        <f>_xll.qlInstGetInstrumentNPV(D32,"FAIRRATE")*100</f>
        <v>0.57767642787234064</v>
      </c>
      <c r="F32" s="32">
        <f>(C32-E32)*100</f>
        <v>1.3823572127659389</v>
      </c>
      <c r="G32" s="35">
        <f>F32/100/C32</f>
        <v>2.3370367079728466E-2</v>
      </c>
      <c r="N32" s="53" t="s">
        <v>239</v>
      </c>
      <c r="O32" s="47">
        <v>0.05</v>
      </c>
    </row>
    <row r="33" spans="2:15" x14ac:dyDescent="0.25">
      <c r="B33" s="16" t="s">
        <v>37</v>
      </c>
      <c r="C33" s="28"/>
      <c r="D33" s="12" t="str">
        <f>_xll.qlInstIRVanillaSwap("SWAP_"&amp;B33,TRUE,1000,C33/100,USD!$B$3,B33,USD!$Q$33,,USD!$O$2)</f>
        <v>SWP@SWAP_18M#07:55:39</v>
      </c>
      <c r="E33" s="37">
        <f>_xll.qlInstGetInstrumentNPV(D33,"FAIRRATE")*100</f>
        <v>0.75553702341513329</v>
      </c>
      <c r="F33" s="32"/>
      <c r="G33" s="35"/>
      <c r="N33" s="53" t="s">
        <v>240</v>
      </c>
      <c r="O33" s="48">
        <f>O23</f>
        <v>1000000</v>
      </c>
    </row>
    <row r="34" spans="2:15" ht="15.75" thickBot="1" x14ac:dyDescent="0.3">
      <c r="B34" s="16" t="s">
        <v>38</v>
      </c>
      <c r="C34" s="28">
        <f>VLOOKUP(B34,USD!$C$58:$F$75,4,FALSE)</f>
        <v>0.97430000000000005</v>
      </c>
      <c r="D34" s="12" t="str">
        <f>_xll.qlInstIRVanillaSwap("SWAP_"&amp;B34,TRUE,1000,C34/100,USD!$B$3,B34,USD!$Q$33,,USD!$O$2)</f>
        <v>SWP@SWAP_2Y#07:55:39</v>
      </c>
      <c r="E34" s="37">
        <f>_xll.qlInstGetInstrumentNPV(D34,"FAIRRATE")*100</f>
        <v>0.93963266505337262</v>
      </c>
      <c r="F34" s="32">
        <f t="shared" ref="F34:F48" si="5">(C34-E34)*100</f>
        <v>3.4667334946627437</v>
      </c>
      <c r="G34" s="35">
        <f t="shared" ref="G34:G48" si="6">F34/100/C34</f>
        <v>3.5581786869164973E-2</v>
      </c>
      <c r="N34" s="60" t="s">
        <v>241</v>
      </c>
      <c r="O34" s="61"/>
    </row>
    <row r="35" spans="2:15" ht="15.75" thickBot="1" x14ac:dyDescent="0.3">
      <c r="B35" s="16" t="s">
        <v>39</v>
      </c>
      <c r="C35" s="28">
        <f>VLOOKUP(B35,USD!$C$58:$F$75,4,FALSE)</f>
        <v>1.3014999999999999</v>
      </c>
      <c r="D35" s="12" t="str">
        <f>_xll.qlInstIRVanillaSwap("SWAP_"&amp;B35,TRUE,1000,C35/100,USD!$B$3,B35,USD!$Q$33,,USD!$O$2)</f>
        <v>SWP@SWAP_3Y#07:55:39</v>
      </c>
      <c r="E35" s="37">
        <f>_xll.qlInstGetInstrumentNPV(D35,"FAIRRATE")*100</f>
        <v>1.2713039450380206</v>
      </c>
      <c r="F35" s="32">
        <f t="shared" si="5"/>
        <v>3.0196054961979302</v>
      </c>
      <c r="G35" s="35">
        <f t="shared" si="6"/>
        <v>2.3200964242780873E-2</v>
      </c>
      <c r="N35" s="62" t="s">
        <v>242</v>
      </c>
      <c r="O35" s="63" t="str">
        <f>_xll.qlInstIRGenericSwap(O3:O14,O15:O22,O23,,O25:O32,O33,,"USDOIS")</f>
        <v>SWP@DemoUSD1M3M#08:08:19</v>
      </c>
    </row>
    <row r="36" spans="2:15" x14ac:dyDescent="0.25">
      <c r="B36" s="16" t="s">
        <v>40</v>
      </c>
      <c r="C36" s="28">
        <f>VLOOKUP(B36,USD!$C$58:$F$75,4,FALSE)</f>
        <v>1.5629999999999999</v>
      </c>
      <c r="D36" s="12" t="str">
        <f>_xll.qlInstIRVanillaSwap("SWAP_"&amp;B36,TRUE,1000,C36/100,USD!$B$3,B36,USD!$Q$33,,USD!$O$2)</f>
        <v>SWP@SWAP_4Y#07:55:39</v>
      </c>
      <c r="E36" s="37">
        <f>_xll.qlInstGetInstrumentNPV(D36,"FAIRRATE")*100</f>
        <v>1.5630012638145896</v>
      </c>
      <c r="F36" s="32">
        <f t="shared" si="5"/>
        <v>-1.2638145896470832E-4</v>
      </c>
      <c r="G36" s="35">
        <f t="shared" si="6"/>
        <v>-8.0858259094503088E-7</v>
      </c>
    </row>
    <row r="37" spans="2:15" x14ac:dyDescent="0.25">
      <c r="B37" s="16" t="s">
        <v>41</v>
      </c>
      <c r="C37" s="28">
        <f>VLOOKUP(B37,USD!$C$58:$F$75,4,FALSE)</f>
        <v>1.7747999999999999</v>
      </c>
      <c r="D37" s="12" t="str">
        <f>_xll.qlInstIRVanillaSwap("SWAP_"&amp;B37,TRUE,1000,C37/100,USD!$B$3,B37,USD!$Q$33,,USD!$O$2)</f>
        <v>SWP@SWAP_5Y#07:55:39</v>
      </c>
      <c r="E37" s="37">
        <f>_xll.qlInstGetInstrumentNPV(D37,"FAIRRATE")*100</f>
        <v>1.7748011939167936</v>
      </c>
      <c r="F37" s="32">
        <f t="shared" si="5"/>
        <v>-1.1939167936514394E-4</v>
      </c>
      <c r="G37" s="35">
        <f t="shared" si="6"/>
        <v>-6.7270497726585504E-7</v>
      </c>
    </row>
    <row r="38" spans="2:15" x14ac:dyDescent="0.25">
      <c r="B38" s="16" t="s">
        <v>185</v>
      </c>
      <c r="C38" s="28">
        <f>VLOOKUP(B38,USD!$C$58:$F$75,4,FALSE)</f>
        <v>1.946</v>
      </c>
      <c r="D38" s="12" t="str">
        <f>_xll.qlInstIRVanillaSwap("SWAP_"&amp;B38,TRUE,1000,C38/100,USD!$B$3,B38,USD!$Q$33,,USD!$O$2)</f>
        <v>SWP@SWAP_6Y#07:55:39</v>
      </c>
      <c r="E38" s="37">
        <f>_xll.qlInstGetInstrumentNPV(D38,"FAIRRATE")*100</f>
        <v>1.9460011234021439</v>
      </c>
      <c r="F38" s="32">
        <f t="shared" si="5"/>
        <v>-1.1234021439765485E-4</v>
      </c>
      <c r="G38" s="35">
        <f t="shared" si="6"/>
        <v>-5.7728784377006604E-7</v>
      </c>
    </row>
    <row r="39" spans="2:15" x14ac:dyDescent="0.25">
      <c r="B39" s="16" t="s">
        <v>42</v>
      </c>
      <c r="C39" s="28">
        <f>VLOOKUP(B39,USD!$C$58:$F$75,4,FALSE)</f>
        <v>2.0830000000000002</v>
      </c>
      <c r="D39" s="12" t="str">
        <f>_xll.qlInstIRVanillaSwap("SWAP_"&amp;B39,TRUE,1000,C39/100,USD!$B$3,B39,USD!$Q$33,,USD!$O$2)</f>
        <v>SWP@SWAP_7Y#07:55:39</v>
      </c>
      <c r="E39" s="37">
        <f>_xll.qlInstGetInstrumentNPV(D39,"FAIRRATE")*100</f>
        <v>2.0826793222970075</v>
      </c>
      <c r="F39" s="32">
        <f t="shared" si="5"/>
        <v>3.2067770299271103E-2</v>
      </c>
      <c r="G39" s="35">
        <f t="shared" si="6"/>
        <v>1.5394992942520931E-4</v>
      </c>
    </row>
    <row r="40" spans="2:15" x14ac:dyDescent="0.25">
      <c r="B40" s="16" t="s">
        <v>186</v>
      </c>
      <c r="C40" s="28">
        <f>VLOOKUP(B40,USD!$C$58:$F$75,4,FALSE)</f>
        <v>2.1951000000000001</v>
      </c>
      <c r="D40" s="12" t="str">
        <f>_xll.qlInstIRVanillaSwap("SWAP_"&amp;B40,TRUE,1000,C40/100,USD!$B$3,B40,USD!$Q$33,,USD!$O$2)</f>
        <v>SWP@SWAP_8Y#07:55:39</v>
      </c>
      <c r="E40" s="37">
        <f>_xll.qlInstGetInstrumentNPV(D40,"FAIRRATE")*100</f>
        <v>2.1950986226459728</v>
      </c>
      <c r="F40" s="32">
        <f t="shared" si="5"/>
        <v>1.3773540272765672E-4</v>
      </c>
      <c r="G40" s="35">
        <f t="shared" si="6"/>
        <v>6.2746755376819605E-7</v>
      </c>
    </row>
    <row r="41" spans="2:15" x14ac:dyDescent="0.25">
      <c r="B41" s="16" t="s">
        <v>187</v>
      </c>
      <c r="C41" s="28">
        <f>VLOOKUP(B41,USD!$C$58:$F$75,4,FALSE)</f>
        <v>2.2850000000000001</v>
      </c>
      <c r="D41" s="12" t="str">
        <f>_xll.qlInstIRVanillaSwap("SWAP_"&amp;B41,TRUE,1000,C41/100,USD!$B$3,B41,USD!$Q$33,,USD!$O$2)</f>
        <v>SWP@SWAP_9Y#07:55:39</v>
      </c>
      <c r="E41" s="37">
        <f>_xll.qlInstGetInstrumentNPV(D41,"FAIRRATE")*100</f>
        <v>2.2850014219507333</v>
      </c>
      <c r="F41" s="32">
        <f t="shared" si="5"/>
        <v>-1.4219507331603154E-4</v>
      </c>
      <c r="G41" s="35">
        <f t="shared" si="6"/>
        <v>-6.222979138557179E-7</v>
      </c>
    </row>
    <row r="42" spans="2:15" x14ac:dyDescent="0.25">
      <c r="B42" s="16" t="s">
        <v>43</v>
      </c>
      <c r="C42" s="28">
        <f>VLOOKUP(B42,USD!$C$58:$F$75,4,FALSE)</f>
        <v>2.3595000000000002</v>
      </c>
      <c r="D42" s="12" t="str">
        <f>_xll.qlInstIRVanillaSwap("SWAP_"&amp;B42,TRUE,1000,C42/100,USD!$B$3,B42,USD!$Q$33,,USD!$O$2)</f>
        <v>SWP@SWAP_10Y#07:55:39</v>
      </c>
      <c r="E42" s="37">
        <f>_xll.qlInstGetInstrumentNPV(D42,"FAIRRATE")*100</f>
        <v>2.3595013498500146</v>
      </c>
      <c r="F42" s="32">
        <f t="shared" si="5"/>
        <v>-1.3498500144315528E-4</v>
      </c>
      <c r="G42" s="35">
        <f t="shared" si="6"/>
        <v>-5.720915509351781E-7</v>
      </c>
    </row>
    <row r="43" spans="2:15" x14ac:dyDescent="0.25">
      <c r="B43" s="16" t="s">
        <v>188</v>
      </c>
      <c r="C43" s="28">
        <f>VLOOKUP(B43,USD!$C$58:$F$75,4,FALSE)</f>
        <v>2.4230999999999998</v>
      </c>
      <c r="D43" s="12" t="str">
        <f>_xll.qlInstIRVanillaSwap("SWAP_"&amp;B43,TRUE,1000,C43/100,USD!$B$3,B43,USD!$Q$33,,USD!$O$2)</f>
        <v>SWP@SWAP_11Y#07:55:39</v>
      </c>
      <c r="E43" s="37">
        <f>_xll.qlInstGetInstrumentNPV(D43,"FAIRRATE")*100</f>
        <v>2.4231012851865894</v>
      </c>
      <c r="F43" s="32">
        <f t="shared" si="5"/>
        <v>-1.2851865895946446E-4</v>
      </c>
      <c r="G43" s="35">
        <f t="shared" si="6"/>
        <v>-5.3038941421924174E-7</v>
      </c>
    </row>
    <row r="44" spans="2:15" x14ac:dyDescent="0.25">
      <c r="B44" s="16" t="s">
        <v>44</v>
      </c>
      <c r="C44" s="28">
        <f>VLOOKUP(B44,USD!$C$58:$F$75,4,FALSE)</f>
        <v>2.4744999999999999</v>
      </c>
      <c r="D44" s="12" t="str">
        <f>_xll.qlInstIRVanillaSwap("SWAP_"&amp;B44,TRUE,1000,C44/100,USD!$B$3,B44,USD!$Q$33,,USD!$O$2)</f>
        <v>SWP@SWAP_12Y#07:55:39</v>
      </c>
      <c r="E44" s="37">
        <f>_xll.qlInstGetInstrumentNPV(D44,"FAIRRATE")*100</f>
        <v>2.4745012250168408</v>
      </c>
      <c r="F44" s="32">
        <f t="shared" si="5"/>
        <v>-1.2250168408556306E-4</v>
      </c>
      <c r="G44" s="35">
        <f t="shared" si="6"/>
        <v>-4.9505631071150963E-7</v>
      </c>
    </row>
    <row r="45" spans="2:15" x14ac:dyDescent="0.25">
      <c r="B45" s="16" t="s">
        <v>45</v>
      </c>
      <c r="C45" s="28">
        <f>VLOOKUP(B45,USD!$C$58:$F$75,4,FALSE)</f>
        <v>2.5853000000000002</v>
      </c>
      <c r="D45" s="12" t="str">
        <f>_xll.qlInstIRVanillaSwap("SWAP_"&amp;B45,TRUE,1000,C45/100,USD!$B$3,B45,USD!$Q$33,,USD!$O$2)</f>
        <v>SWP@SWAP_15Y#07:55:39</v>
      </c>
      <c r="E45" s="37">
        <f>_xll.qlInstGetInstrumentNPV(D45,"FAIRRATE")*100</f>
        <v>2.5853010755206829</v>
      </c>
      <c r="F45" s="32">
        <f t="shared" si="5"/>
        <v>-1.0755206827361974E-4</v>
      </c>
      <c r="G45" s="35">
        <f t="shared" si="6"/>
        <v>-4.160138795250831E-7</v>
      </c>
    </row>
    <row r="46" spans="2:15" x14ac:dyDescent="0.25">
      <c r="B46" s="16" t="s">
        <v>46</v>
      </c>
      <c r="C46" s="28">
        <f>VLOOKUP(B46,USD!$C$58:$F$75,4,FALSE)</f>
        <v>2.6852999999999998</v>
      </c>
      <c r="D46" s="12" t="str">
        <f>_xll.qlInstIRVanillaSwap("SWAP_"&amp;B46,TRUE,1000,C46/100,USD!$B$3,B46,USD!$Q$33,,USD!$O$2)</f>
        <v>SWP@SWAP_20Y#07:55:39</v>
      </c>
      <c r="E46" s="37">
        <f>_xll.qlInstGetInstrumentNPV(D46,"FAIRRATE")*100</f>
        <v>2.6853009148146847</v>
      </c>
      <c r="F46" s="32">
        <f t="shared" si="5"/>
        <v>-9.1481468489362783E-5</v>
      </c>
      <c r="G46" s="35">
        <f t="shared" si="6"/>
        <v>-3.4067503999315826E-7</v>
      </c>
    </row>
    <row r="47" spans="2:15" x14ac:dyDescent="0.25">
      <c r="B47" s="16" t="s">
        <v>47</v>
      </c>
      <c r="C47" s="28">
        <f>VLOOKUP(B47,USD!$C$58:$F$75,4,FALSE)</f>
        <v>2.7307000000000001</v>
      </c>
      <c r="D47" s="12" t="str">
        <f>_xll.qlInstIRVanillaSwap("SWAP_"&amp;B47,TRUE,1000,C47/100,USD!$B$3,B47,USD!$Q$33,,USD!$O$2)</f>
        <v>SWP@SWAP_25Y#07:55:39</v>
      </c>
      <c r="E47" s="37">
        <f>_xll.qlInstGetInstrumentNPV(D47,"FAIRRATE")*100</f>
        <v>2.7307008054909265</v>
      </c>
      <c r="F47" s="32">
        <f t="shared" si="5"/>
        <v>-8.0549092640325171E-5</v>
      </c>
      <c r="G47" s="35">
        <f t="shared" si="6"/>
        <v>-2.9497598652479277E-7</v>
      </c>
    </row>
    <row r="48" spans="2:15" x14ac:dyDescent="0.25">
      <c r="B48" s="16" t="s">
        <v>48</v>
      </c>
      <c r="C48" s="28">
        <f>VLOOKUP(B48,USD!$C$58:$F$75,4,FALSE)</f>
        <v>2.7542999999999997</v>
      </c>
      <c r="D48" s="12" t="str">
        <f>_xll.qlInstIRVanillaSwap("SWAP_"&amp;B48,TRUE,1000,C48/100,USD!$B$3,B48,USD!$Q$33,,USD!$O$2)</f>
        <v>SWP@SWAP_30Y#07:55:39</v>
      </c>
      <c r="E48" s="37">
        <f>_xll.qlInstGetInstrumentNPV(D48,"FAIRRATE")*100</f>
        <v>2.7542985231280239</v>
      </c>
      <c r="F48" s="32">
        <f t="shared" si="5"/>
        <v>1.4768719758251336E-4</v>
      </c>
      <c r="G48" s="35">
        <f t="shared" si="6"/>
        <v>5.3620592376470742E-7</v>
      </c>
    </row>
    <row r="49" spans="2:10" hidden="1" x14ac:dyDescent="0.25">
      <c r="B49" s="16" t="s">
        <v>49</v>
      </c>
      <c r="C49" s="28">
        <f>VLOOKUP(B49,USD!$C$58:$F$75,4,FALSE)</f>
        <v>2.7732999999999999</v>
      </c>
      <c r="D49" s="12" t="str">
        <f>_xll.qlInstIRVanillaSwap("SWAP_"&amp;B49,TRUE,1000,C49/100,USD!$B$3,B49,USD!$Q$33,,USD!$O$2)</f>
        <v>SWP@SWAP_40Y#07:55:39</v>
      </c>
      <c r="E49" s="37">
        <f>_xll.qlInstGetInstrumentNPV(D49,"FAIRRATE")*100</f>
        <v>2.7733006244549547</v>
      </c>
      <c r="F49" s="32">
        <f t="shared" ref="F49:F50" si="7">(C49-E49)*100</f>
        <v>-6.2445495485619062E-5</v>
      </c>
      <c r="G49" s="35">
        <f t="shared" ref="G49:G50" si="8">F49/100/C49</f>
        <v>-2.2516675255334462E-7</v>
      </c>
    </row>
    <row r="50" spans="2:10" ht="15.75" thickBot="1" x14ac:dyDescent="0.3">
      <c r="B50" s="17" t="s">
        <v>49</v>
      </c>
      <c r="C50" s="29">
        <f>VLOOKUP(B50,USD!$C$58:$F$75,4,FALSE)</f>
        <v>2.7732999999999999</v>
      </c>
      <c r="D50" s="13" t="str">
        <f>_xll.qlInstIRVanillaSwap("SWAP_"&amp;B50,TRUE,1000,C50/100,USD!$B$3,B50,USD!$Q$33,,USD!$O$2)</f>
        <v>SWP@SWAP_40Y#07:55:39</v>
      </c>
      <c r="E50" s="38">
        <f>_xll.qlInstGetInstrumentNPV(D50,"FAIRRATE")*100</f>
        <v>2.7733006244549547</v>
      </c>
      <c r="F50" s="33">
        <f t="shared" si="7"/>
        <v>-6.2445495485619062E-5</v>
      </c>
      <c r="G50" s="36">
        <f t="shared" si="8"/>
        <v>-2.2516675255334462E-7</v>
      </c>
    </row>
    <row r="52" spans="2:10" ht="15.75" thickBot="1" x14ac:dyDescent="0.3"/>
    <row r="53" spans="2:10" x14ac:dyDescent="0.25">
      <c r="B53" s="14" t="s">
        <v>160</v>
      </c>
      <c r="C53" s="15" t="s">
        <v>199</v>
      </c>
      <c r="D53" s="15" t="s">
        <v>182</v>
      </c>
      <c r="E53" s="15" t="s">
        <v>179</v>
      </c>
      <c r="F53" s="15" t="s">
        <v>180</v>
      </c>
      <c r="G53" s="26" t="s">
        <v>181</v>
      </c>
    </row>
    <row r="54" spans="2:10" x14ac:dyDescent="0.25">
      <c r="B54" s="16" t="str">
        <f>USD!C81</f>
        <v>3M</v>
      </c>
      <c r="C54" s="28">
        <f>VLOOKUP(B54,USD!C81:I97,7,FALSE)</f>
        <v>0.31780888885899478</v>
      </c>
      <c r="D54" s="12" t="str">
        <f>O35</f>
        <v>SWP@DemoUSD1M3M#08:08:19</v>
      </c>
      <c r="E54" s="19">
        <f>_xll.qlInstGetInstrumentNPV(D54,"FAIRSPREAD",TRUE)*100</f>
        <v>1262537.4700874577</v>
      </c>
      <c r="F54" s="18"/>
      <c r="G54" s="27"/>
      <c r="H54">
        <f>_xll.qlInstGetInstrumentNPV(D54,,TRUE)</f>
        <v>12625.374700874578</v>
      </c>
      <c r="J54" s="2"/>
    </row>
    <row r="55" spans="2:10" x14ac:dyDescent="0.25">
      <c r="B55" s="16" t="str">
        <f>USD!C82</f>
        <v>6M</v>
      </c>
      <c r="C55" s="28">
        <f>VLOOKUP(B55,USD!C82:I98,7,FALSE)</f>
        <v>0.41892495677268532</v>
      </c>
      <c r="D55" s="12"/>
      <c r="E55" s="19" t="e">
        <f>_xll.qlInstGetInstrumentNPV(D55,"FAIRRATE")*100</f>
        <v>#VALUE!</v>
      </c>
      <c r="F55" s="18"/>
      <c r="G55" s="27"/>
    </row>
    <row r="56" spans="2:10" x14ac:dyDescent="0.25">
      <c r="B56" s="16" t="str">
        <f>USD!C83</f>
        <v>9M</v>
      </c>
      <c r="C56" s="28">
        <f>VLOOKUP(B56,USD!C83:I99,7,FALSE)</f>
        <v>0.50400427961653693</v>
      </c>
      <c r="D56" s="12"/>
      <c r="E56" s="19" t="e">
        <f>_xll.qlInstGetInstrumentNPV(D56,"FAIRRATE")*100</f>
        <v>#VALUE!</v>
      </c>
      <c r="F56" s="18"/>
      <c r="G56" s="27"/>
    </row>
    <row r="57" spans="2:10" x14ac:dyDescent="0.25">
      <c r="B57" s="16" t="str">
        <f>USD!C84</f>
        <v>1Y</v>
      </c>
      <c r="C57" s="28">
        <f>VLOOKUP(B57,USD!C84:I100,7,FALSE)</f>
        <v>0.57767642787234064</v>
      </c>
      <c r="D57" s="12"/>
      <c r="E57" s="19" t="e">
        <f>_xll.qlInstGetInstrumentNPV(D57,"FAIRRATE")*100</f>
        <v>#VALUE!</v>
      </c>
      <c r="F57" s="18"/>
      <c r="G57" s="27"/>
    </row>
    <row r="58" spans="2:10" x14ac:dyDescent="0.25">
      <c r="B58" s="16" t="str">
        <f>USD!C85</f>
        <v>18M</v>
      </c>
      <c r="C58" s="28">
        <f>VLOOKUP(B58,USD!C85:I101,7,FALSE)</f>
        <v>0.75553702341513329</v>
      </c>
      <c r="D58" s="12"/>
      <c r="E58" s="37" t="e">
        <f>_xll.qlInstGetInstrumentNPV(D58,"FAIRRATE")*100</f>
        <v>#VALUE!</v>
      </c>
      <c r="F58" s="32" t="e">
        <f>(C58-E58)*100</f>
        <v>#VALUE!</v>
      </c>
      <c r="G58" s="35" t="e">
        <f>F58/100/C58</f>
        <v>#VALUE!</v>
      </c>
    </row>
    <row r="59" spans="2:10" x14ac:dyDescent="0.25">
      <c r="B59" s="16" t="str">
        <f>USD!C86</f>
        <v>2Y</v>
      </c>
      <c r="C59" s="28">
        <f>VLOOKUP(B59,USD!C86:I102,7,FALSE)</f>
        <v>0.93963266505337262</v>
      </c>
      <c r="D59" s="12"/>
      <c r="E59" s="37" t="e">
        <f>_xll.qlInstGetInstrumentNPV(D59,"FAIRRATE")*100</f>
        <v>#VALUE!</v>
      </c>
      <c r="F59" s="32"/>
      <c r="G59" s="35"/>
    </row>
    <row r="60" spans="2:10" x14ac:dyDescent="0.25">
      <c r="B60" s="16" t="str">
        <f>USD!C87</f>
        <v>3Y</v>
      </c>
      <c r="C60" s="28">
        <f>VLOOKUP(B60,USD!C87:I103,7,FALSE)</f>
        <v>1.2713039450380206</v>
      </c>
      <c r="D60" s="12"/>
      <c r="E60" s="37" t="e">
        <f>_xll.qlInstGetInstrumentNPV(D60,"FAIRRATE")*100</f>
        <v>#VALUE!</v>
      </c>
      <c r="F60" s="32" t="e">
        <f t="shared" ref="F60:F67" si="9">(C60-E60)*100</f>
        <v>#VALUE!</v>
      </c>
      <c r="G60" s="35" t="e">
        <f t="shared" ref="G60:G67" si="10">F60/100/C60</f>
        <v>#VALUE!</v>
      </c>
    </row>
    <row r="61" spans="2:10" x14ac:dyDescent="0.25">
      <c r="B61" s="16" t="str">
        <f>USD!C88</f>
        <v>4Y</v>
      </c>
      <c r="C61" s="28">
        <f>VLOOKUP(B61,USD!C88:I104,7,FALSE)</f>
        <v>1.5630012638145896</v>
      </c>
      <c r="D61" s="12"/>
      <c r="E61" s="37" t="e">
        <f>_xll.qlInstGetInstrumentNPV(D61,"FAIRRATE")*100</f>
        <v>#VALUE!</v>
      </c>
      <c r="F61" s="32" t="e">
        <f t="shared" si="9"/>
        <v>#VALUE!</v>
      </c>
      <c r="G61" s="35" t="e">
        <f t="shared" si="10"/>
        <v>#VALUE!</v>
      </c>
    </row>
    <row r="62" spans="2:10" x14ac:dyDescent="0.25">
      <c r="B62" s="16" t="str">
        <f>USD!C89</f>
        <v>5Y</v>
      </c>
      <c r="C62" s="28">
        <f>VLOOKUP(B62,USD!C89:I105,7,FALSE)</f>
        <v>1.7748011939167936</v>
      </c>
      <c r="D62" s="12"/>
      <c r="E62" s="37" t="e">
        <f>_xll.qlInstGetInstrumentNPV(D62,"FAIRRATE")*100</f>
        <v>#VALUE!</v>
      </c>
      <c r="F62" s="32" t="e">
        <f t="shared" si="9"/>
        <v>#VALUE!</v>
      </c>
      <c r="G62" s="35" t="e">
        <f t="shared" si="10"/>
        <v>#VALUE!</v>
      </c>
    </row>
    <row r="63" spans="2:10" x14ac:dyDescent="0.25">
      <c r="B63" s="16" t="str">
        <f>USD!C90</f>
        <v>6Y</v>
      </c>
      <c r="C63" s="28">
        <f>VLOOKUP(B63,USD!C90:I106,7,FALSE)</f>
        <v>1.9460011234021439</v>
      </c>
      <c r="D63" s="12"/>
      <c r="E63" s="37" t="e">
        <f>_xll.qlInstGetInstrumentNPV(D63,"FAIRRATE")*100</f>
        <v>#VALUE!</v>
      </c>
      <c r="F63" s="32" t="e">
        <f t="shared" si="9"/>
        <v>#VALUE!</v>
      </c>
      <c r="G63" s="35" t="e">
        <f t="shared" si="10"/>
        <v>#VALUE!</v>
      </c>
    </row>
    <row r="64" spans="2:10" x14ac:dyDescent="0.25">
      <c r="B64" s="16" t="str">
        <f>USD!C91</f>
        <v>7Y</v>
      </c>
      <c r="C64" s="28">
        <f>VLOOKUP(B64,USD!C91:I107,7,FALSE)</f>
        <v>2.0826793222970075</v>
      </c>
      <c r="D64" s="12"/>
      <c r="E64" s="37" t="e">
        <f>_xll.qlInstGetInstrumentNPV(D64,"FAIRRATE")*100</f>
        <v>#VALUE!</v>
      </c>
      <c r="F64" s="32" t="e">
        <f t="shared" si="9"/>
        <v>#VALUE!</v>
      </c>
      <c r="G64" s="35" t="e">
        <f t="shared" si="10"/>
        <v>#VALUE!</v>
      </c>
    </row>
    <row r="65" spans="2:7" x14ac:dyDescent="0.25">
      <c r="B65" s="16" t="str">
        <f>USD!C92</f>
        <v>10Y</v>
      </c>
      <c r="C65" s="28">
        <f>VLOOKUP(B65,USD!C92:I108,7,FALSE)</f>
        <v>2.3595013498500146</v>
      </c>
      <c r="D65" s="12"/>
      <c r="E65" s="37" t="e">
        <f>_xll.qlInstGetInstrumentNPV(D65,"FAIRRATE")*100</f>
        <v>#VALUE!</v>
      </c>
      <c r="F65" s="32" t="e">
        <f t="shared" si="9"/>
        <v>#VALUE!</v>
      </c>
      <c r="G65" s="35" t="e">
        <f t="shared" si="10"/>
        <v>#VALUE!</v>
      </c>
    </row>
    <row r="66" spans="2:7" x14ac:dyDescent="0.25">
      <c r="B66" s="16" t="str">
        <f>USD!C93</f>
        <v>12Y</v>
      </c>
      <c r="C66" s="28">
        <f>VLOOKUP(B66,USD!C93:I109,7,FALSE)</f>
        <v>2.4745012250168408</v>
      </c>
      <c r="D66" s="12"/>
      <c r="E66" s="37" t="e">
        <f>_xll.qlInstGetInstrumentNPV(D66,"FAIRRATE")*100</f>
        <v>#VALUE!</v>
      </c>
      <c r="F66" s="32" t="e">
        <f t="shared" si="9"/>
        <v>#VALUE!</v>
      </c>
      <c r="G66" s="35" t="e">
        <f t="shared" si="10"/>
        <v>#VALUE!</v>
      </c>
    </row>
    <row r="67" spans="2:7" x14ac:dyDescent="0.25">
      <c r="B67" s="16" t="str">
        <f>USD!C94</f>
        <v>15Y</v>
      </c>
      <c r="C67" s="28">
        <f>VLOOKUP(B67,USD!C94:I110,7,FALSE)</f>
        <v>2.5853010755206829</v>
      </c>
      <c r="D67" s="12"/>
      <c r="E67" s="37" t="e">
        <f>_xll.qlInstGetInstrumentNPV(D67,"FAIRRATE")*100</f>
        <v>#VALUE!</v>
      </c>
      <c r="F67" s="32" t="e">
        <f t="shared" si="9"/>
        <v>#VALUE!</v>
      </c>
      <c r="G67" s="35" t="e">
        <f t="shared" si="10"/>
        <v>#VALUE!</v>
      </c>
    </row>
    <row r="68" spans="2:7" x14ac:dyDescent="0.25">
      <c r="B68" s="16" t="str">
        <f>USD!C95</f>
        <v>20Y</v>
      </c>
      <c r="C68" s="28">
        <f>VLOOKUP(B68,USD!C95:I111,7,FALSE)</f>
        <v>2.6853009148146847</v>
      </c>
    </row>
    <row r="69" spans="2:7" x14ac:dyDescent="0.25">
      <c r="B69" s="16" t="str">
        <f>USD!C96</f>
        <v>25Y</v>
      </c>
      <c r="C69" s="28">
        <f>VLOOKUP(B69,USD!C96:I112,7,FALSE)</f>
        <v>2.7307008054909265</v>
      </c>
    </row>
    <row r="70" spans="2:7" x14ac:dyDescent="0.25">
      <c r="B70" s="16" t="str">
        <f>USD!C97</f>
        <v>30Y</v>
      </c>
      <c r="C70" s="28">
        <f>VLOOKUP(B70,USD!C97:I113,7,FALSE)</f>
        <v>2.7542985231280239</v>
      </c>
    </row>
    <row r="259" spans="2:7" x14ac:dyDescent="0.25">
      <c r="B259" t="s">
        <v>160</v>
      </c>
      <c r="C259" t="str">
        <f>_xll.qlInstIRVanillaSwap(B259&amp;"_"&amp;"Fixing",TRUE,1000,0.01,USD!$B$3,"1M",B259,0,"USDOIS")</f>
        <v>SWP@USDLIB1M_Fixing#07:55:38</v>
      </c>
      <c r="F259" t="s">
        <v>191</v>
      </c>
    </row>
    <row r="260" spans="2:7" x14ac:dyDescent="0.25">
      <c r="C260" s="10">
        <f>_xll.qlInstGetInstrumentNPV(C259,"FAIRRATE")</f>
        <v>2.6090755769508965E-3</v>
      </c>
      <c r="D260" s="10">
        <f>E28/100</f>
        <v>3.2084592122755095E-3</v>
      </c>
      <c r="F260" t="s">
        <v>158</v>
      </c>
      <c r="G260" s="20">
        <f>USD!H3</f>
        <v>1.4000000000000002E-3</v>
      </c>
    </row>
    <row r="261" spans="2:7" x14ac:dyDescent="0.25">
      <c r="B261" t="s">
        <v>161</v>
      </c>
      <c r="C261" t="str">
        <f>_xll.qlInstIRVanillaSwap(B261&amp;"_"&amp;"Fixing",TRUE,1000,0.01,USD!$B$3,"6M","USDLIB6M",0,"USDOIS")</f>
        <v>SWP@USDLIB6M_Fixing#07:55:38</v>
      </c>
      <c r="F261" t="s">
        <v>159</v>
      </c>
      <c r="G261" s="20">
        <f>USD!I39</f>
        <v>3.1090000000000002E-3</v>
      </c>
    </row>
    <row r="262" spans="2:7" x14ac:dyDescent="0.25">
      <c r="C262" s="10">
        <f>_xll.qlInstGetInstrumentNPV(C261,"FAIRRATE")</f>
        <v>6.7206831253565913E-3</v>
      </c>
      <c r="D262" s="10">
        <f>E30/100</f>
        <v>4.1892495677268533E-3</v>
      </c>
      <c r="F262" t="s">
        <v>160</v>
      </c>
      <c r="G262" s="20">
        <f>C260</f>
        <v>2.6090755769508965E-3</v>
      </c>
    </row>
    <row r="263" spans="2:7" x14ac:dyDescent="0.25">
      <c r="B263" t="s">
        <v>162</v>
      </c>
      <c r="C263" t="str">
        <f>_xll.qlInstIRVanillaSwap(B263&amp;"_"&amp;"Fixing",TRUE,1000,0.01,USD!$B$3,"12M",B263,0,"USDOIS")</f>
        <v>SWP@USDLIB12M_Fixing#07:55:38</v>
      </c>
      <c r="F263" t="s">
        <v>161</v>
      </c>
      <c r="G263" s="20">
        <f>C262</f>
        <v>6.7206831253565913E-3</v>
      </c>
    </row>
    <row r="264" spans="2:7" x14ac:dyDescent="0.25">
      <c r="C264" s="10">
        <f>_xll.qlInstGetInstrumentNPV(C263,"FAIRRATE")</f>
        <v>8.314104178688296E-3</v>
      </c>
      <c r="D264" s="10">
        <f>E32/100</f>
        <v>5.7767642787234065E-3</v>
      </c>
      <c r="F264" t="s">
        <v>162</v>
      </c>
      <c r="G264" s="20">
        <f>C264</f>
        <v>8.314104178688296E-3</v>
      </c>
    </row>
  </sheetData>
  <mergeCells count="1">
    <mergeCell ref="O1:AE1"/>
  </mergeCells>
  <dataValidations count="8">
    <dataValidation type="list" allowBlank="1" showInputMessage="1" showErrorMessage="1" sqref="O30 O20">
      <formula1>"BACKWARD,FORWARD,ZERO,THIRDWEDNESDAY,TWENTIETHIMM"</formula1>
    </dataValidation>
    <dataValidation type="list" allowBlank="1" showInputMessage="1" showErrorMessage="1" sqref="O29 O19">
      <formula1>"ACTUAL360,ACTUAL365,ACTUALACTUAL,THIRTY360"</formula1>
    </dataValidation>
    <dataValidation type="list" allowBlank="1" showInputMessage="1" showErrorMessage="1" sqref="O27 O17">
      <formula1>"FOLLOWING,MODIFIEDFOLLOWING,PRECEDING,MODIFIEDPRECEDING,NONE"</formula1>
    </dataValidation>
    <dataValidation type="list" allowBlank="1" showInputMessage="1" showErrorMessage="1" sqref="O26 O16">
      <formula1>"ANNUAL,SEMIANNUAL,QUARTERLY,MONTHLY,WEEKLY,DAILY"</formula1>
    </dataValidation>
    <dataValidation type="list" allowBlank="1" showInputMessage="1" showErrorMessage="1" sqref="O25">
      <formula1>"USDOIS,USDLIB1M,USDLIB3M,USDLIB6M,USDLIB12M"</formula1>
    </dataValidation>
    <dataValidation type="list" allowBlank="1" showInputMessage="1" showErrorMessage="1" sqref="O31 O21 O14">
      <formula1>"TRUE,FALSE"</formula1>
    </dataValidation>
    <dataValidation type="list" allowBlank="1" showInputMessage="1" showErrorMessage="1" sqref="O15">
      <formula1>"FIXED,USDLIB3M"</formula1>
    </dataValidation>
    <dataValidation type="list" allowBlank="1" showInputMessage="1" showErrorMessage="1" sqref="O8">
      <formula1>"Payer, Receiver"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otstrap_Calculate">
                <anchor moveWithCells="1" sizeWithCells="1">
                  <from>
                    <xdr:col>8</xdr:col>
                    <xdr:colOff>190500</xdr:colOff>
                    <xdr:row>2</xdr:row>
                    <xdr:rowOff>38100</xdr:rowOff>
                  </from>
                  <to>
                    <xdr:col>11</xdr:col>
                    <xdr:colOff>495300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PublishUSDCurves">
                <anchor moveWithCells="1" sizeWithCells="1">
                  <from>
                    <xdr:col>8</xdr:col>
                    <xdr:colOff>152400</xdr:colOff>
                    <xdr:row>7</xdr:row>
                    <xdr:rowOff>38100</xdr:rowOff>
                  </from>
                  <to>
                    <xdr:col>11</xdr:col>
                    <xdr:colOff>485775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OpenFolder_IRCurve">
                <anchor moveWithCells="1" sizeWithCells="1">
                  <from>
                    <xdr:col>8</xdr:col>
                    <xdr:colOff>142875</xdr:colOff>
                    <xdr:row>12</xdr:row>
                    <xdr:rowOff>9525</xdr:rowOff>
                  </from>
                  <to>
                    <xdr:col>11</xdr:col>
                    <xdr:colOff>476250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USD</vt:lpstr>
      <vt:lpstr>USDValidation</vt:lpstr>
      <vt:lpstr>USDLIB12M_RHs</vt:lpstr>
      <vt:lpstr>USDLIB1M_RHs</vt:lpstr>
      <vt:lpstr>USDLIB3M_RHs</vt:lpstr>
      <vt:lpstr>USDLIB6M_RHs</vt:lpstr>
      <vt:lpstr>USDOIS_RHs</vt:lpstr>
    </vt:vector>
  </TitlesOfParts>
  <Company>Constellation Energy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Letian:(Constellation)</dc:creator>
  <cp:lastModifiedBy>Letian</cp:lastModifiedBy>
  <dcterms:created xsi:type="dcterms:W3CDTF">2015-06-01T19:13:32Z</dcterms:created>
  <dcterms:modified xsi:type="dcterms:W3CDTF">2016-03-16T12:20:38Z</dcterms:modified>
</cp:coreProperties>
</file>